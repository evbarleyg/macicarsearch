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ortlist" sheetId="1" state="visible" r:id="rId1"/>
    <sheet xmlns:r="http://schemas.openxmlformats.org/officeDocument/2006/relationships" name="Monthly cost" sheetId="2" state="visible" r:id="rId2"/>
    <sheet xmlns:r="http://schemas.openxmlformats.org/officeDocument/2006/relationships" name="Trim values" sheetId="3" state="visible" r:id="rId3"/>
    <sheet xmlns:r="http://schemas.openxmlformats.org/officeDocument/2006/relationships" name="All listings" sheetId="4" state="visible" r:id="rId4"/>
    <sheet xmlns:r="http://schemas.openxmlformats.org/officeDocument/2006/relationships" name="No-haggle floor" sheetId="5" state="visible" r:id="rId5"/>
    <sheet xmlns:r="http://schemas.openxmlformats.org/officeDocument/2006/relationships" name="Sources" sheetId="6" state="visible" r:id="rId6"/>
    <sheet xmlns:r="http://schemas.openxmlformats.org/officeDocument/2006/relationships" name="Read me" sheetId="7" state="visible" r:id="rId7"/>
  </sheets>
  <definedNames>
    <definedName name="_xlnm._FilterDatabase" localSheetId="0" hidden="1">'Shortlist'!$B$5:$S$16</definedName>
    <definedName name="_xlnm._FilterDatabase" localSheetId="1" hidden="1">'Monthly cost'!$B$17:$N$28</definedName>
    <definedName name="_xlnm._FilterDatabase" localSheetId="2" hidden="1">'Trim values'!$B$5:$J$21</definedName>
    <definedName name="_xlnm._FilterDatabase" localSheetId="3" hidden="1">'All listings'!$B$5:$Z$168</definedName>
    <definedName name="_xlnm._FilterDatabase" localSheetId="4" hidden="1">'No-haggle floor'!$B$5:$H$10</definedName>
    <definedName name="_xlnm._FilterDatabase" localSheetId="5" hidden="1">'Sources'!$B$5:$E$18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$#,##0.00_);($#,##0.00);&quot;-&quot;_)"/>
    <numFmt numFmtId="167" formatCode="+$#,##0_);-$#,##0;&quot;-&quot;_)"/>
  </numFmts>
  <fonts count="9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i val="1"/>
      <color rgb="00808080"/>
      <sz val="10"/>
    </font>
    <font>
      <name val="Lora"/>
      <b val="1"/>
      <color rgb="00FFFFFF"/>
      <sz val="10"/>
    </font>
    <font>
      <name val="Lora"/>
      <b val="1"/>
      <sz val="10"/>
    </font>
    <font>
      <name val="Lora"/>
      <sz val="10"/>
    </font>
    <font>
      <name val="Lora"/>
      <color rgb="000000FF"/>
      <sz val="10"/>
    </font>
    <font>
      <name val="Lora"/>
      <color rgb="000563C1"/>
      <sz val="10"/>
      <u val="single"/>
    </font>
    <font>
      <name val="Lora"/>
      <color rgb="00B7B7B7"/>
      <sz val="10"/>
    </font>
  </fonts>
  <fills count="7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19B75"/>
      </patternFill>
    </fill>
    <fill>
      <patternFill patternType="solid">
        <fgColor rgb="00F2E0BD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1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1" fontId="5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164" fontId="6" fillId="0" borderId="0" applyAlignment="1" pivotButton="0" quotePrefix="0" xfId="0">
      <alignment vertical="top"/>
    </xf>
    <xf numFmtId="165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4" fillId="3" borderId="0" pivotButton="0" quotePrefix="0" xfId="0"/>
    <xf numFmtId="0" fontId="5" fillId="3" borderId="0" pivotButton="0" quotePrefix="0" xfId="0"/>
    <xf numFmtId="0" fontId="5" fillId="0" borderId="0" pivotButton="0" quotePrefix="0" xfId="0"/>
    <xf numFmtId="10" fontId="6" fillId="4" borderId="2" pivotButton="0" quotePrefix="0" xfId="0"/>
    <xf numFmtId="1" fontId="6" fillId="4" borderId="2" pivotButton="0" quotePrefix="0" xfId="0"/>
    <xf numFmtId="165" fontId="6" fillId="4" borderId="2" pivotButton="0" quotePrefix="0" xfId="0"/>
    <xf numFmtId="0" fontId="4" fillId="0" borderId="0" pivotButton="0" quotePrefix="0" xfId="0"/>
    <xf numFmtId="166" fontId="4" fillId="0" borderId="3" pivotButton="0" quotePrefix="0" xfId="0"/>
    <xf numFmtId="0" fontId="3" fillId="5" borderId="0" applyAlignment="1" pivotButton="0" quotePrefix="0" xfId="0">
      <alignment vertical="center" wrapText="1"/>
    </xf>
    <xf numFmtId="1" fontId="4" fillId="0" borderId="0" pivotButton="0" quotePrefix="0" xfId="0"/>
    <xf numFmtId="165" fontId="6" fillId="0" borderId="0" pivotButton="0" quotePrefix="0" xfId="0"/>
    <xf numFmtId="165" fontId="5" fillId="0" borderId="0" pivotButton="0" quotePrefix="0" xfId="0"/>
    <xf numFmtId="165" fontId="8" fillId="0" borderId="0" pivotButton="0" quotePrefix="0" xfId="0"/>
    <xf numFmtId="0" fontId="4" fillId="0" borderId="3" pivotButton="0" quotePrefix="0" xfId="0"/>
    <xf numFmtId="0" fontId="5" fillId="0" borderId="3" pivotButton="0" quotePrefix="0" xfId="0"/>
    <xf numFmtId="167" fontId="4" fillId="0" borderId="3" pivotButton="0" quotePrefix="0" xfId="0"/>
    <xf numFmtId="1" fontId="5" fillId="0" borderId="0" pivotButton="0" quotePrefix="0" xfId="0"/>
    <xf numFmtId="167" fontId="5" fillId="0" borderId="0" pivotButton="0" quotePrefix="0" xfId="0"/>
    <xf numFmtId="164" fontId="6" fillId="0" borderId="0" pivotButton="0" quotePrefix="0" xfId="0"/>
    <xf numFmtId="0" fontId="8" fillId="0" borderId="0" pivotButton="0" quotePrefix="0" xfId="0"/>
    <xf numFmtId="1" fontId="5" fillId="6" borderId="0" pivotButton="0" quotePrefix="0" xfId="0"/>
    <xf numFmtId="0" fontId="4" fillId="6" borderId="0" pivotButton="0" quotePrefix="0" xfId="0"/>
    <xf numFmtId="165" fontId="6" fillId="6" borderId="0" pivotButton="0" quotePrefix="0" xfId="0"/>
    <xf numFmtId="0" fontId="5" fillId="6" borderId="0" pivotButton="0" quotePrefix="0" xfId="0"/>
    <xf numFmtId="167" fontId="4" fillId="6" borderId="0" pivotButton="0" quotePrefix="0" xfId="0"/>
    <xf numFmtId="164" fontId="6" fillId="6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argurus.com/Cars/listing/448185375" TargetMode="External" Id="rId1"/><Relationship Type="http://schemas.openxmlformats.org/officeDocument/2006/relationships/hyperlink" Target="https://www.cargurus.com/Cars/listing/451655500" TargetMode="External" Id="rId2"/><Relationship Type="http://schemas.openxmlformats.org/officeDocument/2006/relationships/hyperlink" Target="https://www.kbb.com/cars-for-sale/vehicle/787237825" TargetMode="External" Id="rId3"/><Relationship Type="http://schemas.openxmlformats.org/officeDocument/2006/relationships/hyperlink" Target="https://www.kbb.com/cars-for-sale/vehicle/782577606" TargetMode="External" Id="rId4"/><Relationship Type="http://schemas.openxmlformats.org/officeDocument/2006/relationships/hyperlink" Target="https://www.cargurus.com/Cars/listing/451807182" TargetMode="External" Id="rId5"/><Relationship Type="http://schemas.openxmlformats.org/officeDocument/2006/relationships/hyperlink" Target="https://www.cargurus.com/Cars/listing/449972241" TargetMode="External" Id="rId6"/><Relationship Type="http://schemas.openxmlformats.org/officeDocument/2006/relationships/hyperlink" Target="https://www.cargurus.com/Cars/listing/453287059" TargetMode="External" Id="rId7"/><Relationship Type="http://schemas.openxmlformats.org/officeDocument/2006/relationships/hyperlink" Target="https://www.cargurus.com/Cars/listing/454567468" TargetMode="External" Id="rId8"/><Relationship Type="http://schemas.openxmlformats.org/officeDocument/2006/relationships/hyperlink" Target="https://www.cargurus.com/Cars/listing/450917825" TargetMode="External" Id="rId9"/><Relationship Type="http://schemas.openxmlformats.org/officeDocument/2006/relationships/hyperlink" Target="https://www.cars.com/vehicledetail/d4fd9d01-99f9-4673-87c0-1a173ef9551f/" TargetMode="External" Id="rId10"/><Relationship Type="http://schemas.openxmlformats.org/officeDocument/2006/relationships/hyperlink" Target="https://www.carmax.com/car/70056694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cargurus.com/Cars/listing/448185375" TargetMode="External" Id="rId1"/><Relationship Type="http://schemas.openxmlformats.org/officeDocument/2006/relationships/hyperlink" Target="https://www.kbb.com/cars-for-sale/vehicle/782577606" TargetMode="External" Id="rId2"/><Relationship Type="http://schemas.openxmlformats.org/officeDocument/2006/relationships/hyperlink" Target="https://www.kbb.com/cars-for-sale/vehicle/787237825" TargetMode="External" Id="rId3"/><Relationship Type="http://schemas.openxmlformats.org/officeDocument/2006/relationships/hyperlink" Target="https://www.cargurus.com/Cars/listing/451655500" TargetMode="External" Id="rId4"/><Relationship Type="http://schemas.openxmlformats.org/officeDocument/2006/relationships/hyperlink" Target="https://www.cars.com/vehicledetail/d4fd9d01-99f9-4673-87c0-1a173ef9551f/?aff=atempest&amp;utm_campaign=atempest&amp;utm_source=autotempest&amp;utm_medium=trp&amp;utm_campaign_id=1&amp;utm_trusted=TRUE" TargetMode="External" Id="rId5"/><Relationship Type="http://schemas.openxmlformats.org/officeDocument/2006/relationships/hyperlink" Target="https://www.cargurus.com/Cars/listing/451807182" TargetMode="External" Id="rId6"/><Relationship Type="http://schemas.openxmlformats.org/officeDocument/2006/relationships/hyperlink" Target="https://www.cargurus.com/Cars/listing/449972241" TargetMode="External" Id="rId7"/><Relationship Type="http://schemas.openxmlformats.org/officeDocument/2006/relationships/hyperlink" Target="https://www.cargurus.com/Cars/listing/453287059" TargetMode="External" Id="rId8"/><Relationship Type="http://schemas.openxmlformats.org/officeDocument/2006/relationships/hyperlink" Target="https://www.cargurus.com/Cars/listing/454567468" TargetMode="External" Id="rId9"/><Relationship Type="http://schemas.openxmlformats.org/officeDocument/2006/relationships/hyperlink" Target="https://www.cargurus.com/Cars/listing/452282270" TargetMode="External" Id="rId10"/><Relationship Type="http://schemas.openxmlformats.org/officeDocument/2006/relationships/hyperlink" Target="https://www.cargurus.com/Cars/listing/450917825" TargetMode="External" Id="rId11"/><Relationship Type="http://schemas.openxmlformats.org/officeDocument/2006/relationships/hyperlink" Target="https://www.cargurus.com/Cars/listing/453315542" TargetMode="External" Id="rId12"/><Relationship Type="http://schemas.openxmlformats.org/officeDocument/2006/relationships/hyperlink" Target="https://www.cargurus.com/Cars/listing/451496443" TargetMode="External" Id="rId13"/><Relationship Type="http://schemas.openxmlformats.org/officeDocument/2006/relationships/hyperlink" Target="https://www.kbb.com/cars-for-sale/vehicle/785250481" TargetMode="External" Id="rId14"/><Relationship Type="http://schemas.openxmlformats.org/officeDocument/2006/relationships/hyperlink" Target="https://www.cargurus.com/Cars/listing/449710675" TargetMode="External" Id="rId15"/><Relationship Type="http://schemas.openxmlformats.org/officeDocument/2006/relationships/hyperlink" Target="https://www.kbb.com/cars-for-sale/vehicle/782929413" TargetMode="External" Id="rId16"/><Relationship Type="http://schemas.openxmlformats.org/officeDocument/2006/relationships/hyperlink" Target="https://www.kbb.com/cars-for-sale/vehicle/784195725" TargetMode="External" Id="rId17"/><Relationship Type="http://schemas.openxmlformats.org/officeDocument/2006/relationships/hyperlink" Target="https://www.cargurus.com/Cars/listing/453420840" TargetMode="External" Id="rId18"/><Relationship Type="http://schemas.openxmlformats.org/officeDocument/2006/relationships/hyperlink" Target="https://www.cars.com/vehicledetail/6584f0bf-e7ff-4655-8b8e-04994155a753/?aff=atempest&amp;utm_campaign=atempest&amp;utm_source=autotempest&amp;utm_medium=trp&amp;utm_campaign_id=1&amp;utm_trusted=TRUE" TargetMode="External" Id="rId19"/><Relationship Type="http://schemas.openxmlformats.org/officeDocument/2006/relationships/hyperlink" Target="https://www.cars.com/vehicledetail/094ebb74-c5d0-4fa6-91f5-9b677cc9e444/?aff=atempest&amp;utm_campaign=atempest&amp;utm_source=autotempest&amp;utm_medium=trp&amp;utm_campaign_id=1&amp;utm_trusted=TRUE" TargetMode="External" Id="rId20"/><Relationship Type="http://schemas.openxmlformats.org/officeDocument/2006/relationships/hyperlink" Target="https://www.cars.com/vehicledetail/6166fe67-6e2c-4698-b48d-a1aad7fb1854/?aff=atempest&amp;utm_campaign=atempest&amp;utm_source=autotempest&amp;utm_medium=trp&amp;utm_campaign_id=1&amp;utm_trusted=TRUE" TargetMode="External" Id="rId21"/><Relationship Type="http://schemas.openxmlformats.org/officeDocument/2006/relationships/hyperlink" Target="https://www.kbb.com/cars-for-sale/vehicle/786569774" TargetMode="External" Id="rId22"/><Relationship Type="http://schemas.openxmlformats.org/officeDocument/2006/relationships/hyperlink" Target="https://www.kbb.com/cars-for-sale/vehicle/786801737" TargetMode="External" Id="rId23"/><Relationship Type="http://schemas.openxmlformats.org/officeDocument/2006/relationships/hyperlink" Target="https://www.cargurus.com/Cars/listing/454956423" TargetMode="External" Id="rId24"/><Relationship Type="http://schemas.openxmlformats.org/officeDocument/2006/relationships/hyperlink" Target="https://www.cargurus.com/Cars/listing/455118469" TargetMode="External" Id="rId25"/><Relationship Type="http://schemas.openxmlformats.org/officeDocument/2006/relationships/hyperlink" Target="https://www.cargurus.com/Cars/listing/454780006" TargetMode="External" Id="rId26"/><Relationship Type="http://schemas.openxmlformats.org/officeDocument/2006/relationships/hyperlink" Target="https://www.cargurus.com/Cars/listing/453406753" TargetMode="External" Id="rId27"/><Relationship Type="http://schemas.openxmlformats.org/officeDocument/2006/relationships/hyperlink" Target="https://www.cargurus.com/Cars/listing/450887859" TargetMode="External" Id="rId28"/><Relationship Type="http://schemas.openxmlformats.org/officeDocument/2006/relationships/hyperlink" Target="https://www.cargurus.com/Cars/listing/452939583" TargetMode="External" Id="rId29"/><Relationship Type="http://schemas.openxmlformats.org/officeDocument/2006/relationships/hyperlink" Target="https://www.cargurus.com/Cars/listing/453308645" TargetMode="External" Id="rId30"/><Relationship Type="http://schemas.openxmlformats.org/officeDocument/2006/relationships/hyperlink" Target="https://www.cargurus.com/Cars/listing/452731824" TargetMode="External" Id="rId31"/><Relationship Type="http://schemas.openxmlformats.org/officeDocument/2006/relationships/hyperlink" Target="https://www.cargurus.com/Cars/listing/447772770" TargetMode="External" Id="rId32"/><Relationship Type="http://schemas.openxmlformats.org/officeDocument/2006/relationships/hyperlink" Target="https://www.cargurus.com/Cars/listing/453094107" TargetMode="External" Id="rId33"/><Relationship Type="http://schemas.openxmlformats.org/officeDocument/2006/relationships/hyperlink" Target="https://www.cargurus.com/Cars/listing/454022321" TargetMode="External" Id="rId34"/><Relationship Type="http://schemas.openxmlformats.org/officeDocument/2006/relationships/hyperlink" Target="https://www.cargurus.com/Cars/listing/444392892" TargetMode="External" Id="rId35"/><Relationship Type="http://schemas.openxmlformats.org/officeDocument/2006/relationships/hyperlink" Target="https://www.kbb.com/cars-for-sale/vehicle/785859394" TargetMode="External" Id="rId36"/><Relationship Type="http://schemas.openxmlformats.org/officeDocument/2006/relationships/hyperlink" Target="https://www.kbb.com/cars-for-sale/vehicle/783391919" TargetMode="External" Id="rId37"/><Relationship Type="http://schemas.openxmlformats.org/officeDocument/2006/relationships/hyperlink" Target="https://www.kbb.com/cars-for-sale/vehicle/785511078" TargetMode="External" Id="rId38"/><Relationship Type="http://schemas.openxmlformats.org/officeDocument/2006/relationships/hyperlink" Target="https://www.kbb.com/cars-for-sale/vehicle/787550838" TargetMode="External" Id="rId39"/><Relationship Type="http://schemas.openxmlformats.org/officeDocument/2006/relationships/hyperlink" Target="https://www.kbb.com/cars-for-sale/vehicle/787560767" TargetMode="External" Id="rId40"/><Relationship Type="http://schemas.openxmlformats.org/officeDocument/2006/relationships/hyperlink" Target="https://www.cargurus.com/Cars/listing/454049727" TargetMode="External" Id="rId41"/><Relationship Type="http://schemas.openxmlformats.org/officeDocument/2006/relationships/hyperlink" Target="https://www.kbb.com/cars-for-sale/vehicle/777497939" TargetMode="External" Id="rId42"/><Relationship Type="http://schemas.openxmlformats.org/officeDocument/2006/relationships/hyperlink" Target="https://www.cars.com/vehicledetail/84b6552a-4a94-4c5b-96bf-0b3b37cc55a9/?aff=atempest&amp;utm_campaign=atempest&amp;utm_source=autotempest&amp;utm_medium=trp&amp;utm_campaign_id=1&amp;utm_trusted=TRUE" TargetMode="External" Id="rId43"/><Relationship Type="http://schemas.openxmlformats.org/officeDocument/2006/relationships/hyperlink" Target="https://www.carmax.com/car/29038980" TargetMode="External" Id="rId44"/><Relationship Type="http://schemas.openxmlformats.org/officeDocument/2006/relationships/hyperlink" Target="https://www.carmax.com/car/29091108" TargetMode="External" Id="rId45"/><Relationship Type="http://schemas.openxmlformats.org/officeDocument/2006/relationships/hyperlink" Target="https://www.craigslist.org/view/d/gladstone-2021-mazda-cx-awd-all-wheel/rCunltaJ8RGMLecqP5WrsA" TargetMode="External" Id="rId46"/><Relationship Type="http://schemas.openxmlformats.org/officeDocument/2006/relationships/hyperlink" Target="https://www.carmax.com/car/28983805" TargetMode="External" Id="rId47"/><Relationship Type="http://schemas.openxmlformats.org/officeDocument/2006/relationships/hyperlink" Target="https://www.carmax.com/car/29012714" TargetMode="External" Id="rId48"/><Relationship Type="http://schemas.openxmlformats.org/officeDocument/2006/relationships/hyperlink" Target="https://www.carmax.com/car/28866573" TargetMode="External" Id="rId49"/><Relationship Type="http://schemas.openxmlformats.org/officeDocument/2006/relationships/hyperlink" Target="https://www.carmax.com/car/70129107" TargetMode="External" Id="rId50"/><Relationship Type="http://schemas.openxmlformats.org/officeDocument/2006/relationships/hyperlink" Target="https://www.carmax.com/car/70087903" TargetMode="External" Id="rId51"/><Relationship Type="http://schemas.openxmlformats.org/officeDocument/2006/relationships/hyperlink" Target="https://www.carmax.com/car/28660588" TargetMode="External" Id="rId52"/><Relationship Type="http://schemas.openxmlformats.org/officeDocument/2006/relationships/hyperlink" Target="https://www.craigslist.org/view/d/gladstone-2023-mazda-cx-awd-all-wheel/3gpKyauR8RGS7o6iFahVBg" TargetMode="External" Id="rId53"/><Relationship Type="http://schemas.openxmlformats.org/officeDocument/2006/relationships/hyperlink" Target="https://www.craigslist.org/view/d/gladstone-2023-mazda-cx-awd-all-wheel/JKXkP2KA8RGsEdCJym_nSg" TargetMode="External" Id="rId54"/><Relationship Type="http://schemas.openxmlformats.org/officeDocument/2006/relationships/hyperlink" Target="https://www.carmax.com/car/28567380" TargetMode="External" Id="rId55"/><Relationship Type="http://schemas.openxmlformats.org/officeDocument/2006/relationships/hyperlink" Target="https://www.carmax.com/car/70134850" TargetMode="External" Id="rId56"/><Relationship Type="http://schemas.openxmlformats.org/officeDocument/2006/relationships/hyperlink" Target="https://www.carmax.com/car/28539968" TargetMode="External" Id="rId57"/><Relationship Type="http://schemas.openxmlformats.org/officeDocument/2006/relationships/hyperlink" Target="https://www.carmax.com/car/29000120" TargetMode="External" Id="rId58"/><Relationship Type="http://schemas.openxmlformats.org/officeDocument/2006/relationships/hyperlink" Target="https://www.carmax.com/car/70109269" TargetMode="External" Id="rId59"/><Relationship Type="http://schemas.openxmlformats.org/officeDocument/2006/relationships/hyperlink" Target="https://www.carmax.com/car/28636669" TargetMode="External" Id="rId60"/><Relationship Type="http://schemas.openxmlformats.org/officeDocument/2006/relationships/hyperlink" Target="https://www.truecar.com/used-cars-for-sale/listing/JM3KFBDM8P0179342/?referrer_id=autotempest" TargetMode="External" Id="rId61"/><Relationship Type="http://schemas.openxmlformats.org/officeDocument/2006/relationships/hyperlink" Target="https://www.carmax.com/car/28706182" TargetMode="External" Id="rId62"/><Relationship Type="http://schemas.openxmlformats.org/officeDocument/2006/relationships/hyperlink" Target="https://www.carmax.com/car/70126546" TargetMode="External" Id="rId63"/><Relationship Type="http://schemas.openxmlformats.org/officeDocument/2006/relationships/hyperlink" Target="https://www.carmax.com/car/29011427" TargetMode="External" Id="rId64"/><Relationship Type="http://schemas.openxmlformats.org/officeDocument/2006/relationships/hyperlink" Target="https://www.carmax.com/car/29039860" TargetMode="External" Id="rId65"/><Relationship Type="http://schemas.openxmlformats.org/officeDocument/2006/relationships/hyperlink" Target="https://www.carmax.com/car/70137402" TargetMode="External" Id="rId66"/><Relationship Type="http://schemas.openxmlformats.org/officeDocument/2006/relationships/hyperlink" Target="https://www.carmax.com/car/70156044" TargetMode="External" Id="rId67"/><Relationship Type="http://schemas.openxmlformats.org/officeDocument/2006/relationships/hyperlink" Target="https://www.carmax.com/car/70119910" TargetMode="External" Id="rId68"/><Relationship Type="http://schemas.openxmlformats.org/officeDocument/2006/relationships/hyperlink" Target="https://www.carmax.com/car/29026523" TargetMode="External" Id="rId69"/><Relationship Type="http://schemas.openxmlformats.org/officeDocument/2006/relationships/hyperlink" Target="https://www.carmax.com/car/28960055" TargetMode="External" Id="rId70"/><Relationship Type="http://schemas.openxmlformats.org/officeDocument/2006/relationships/hyperlink" Target="https://www.carmax.com/car/70027911" TargetMode="External" Id="rId71"/><Relationship Type="http://schemas.openxmlformats.org/officeDocument/2006/relationships/hyperlink" Target="https://www.carmax.com/car/70090465" TargetMode="External" Id="rId72"/><Relationship Type="http://schemas.openxmlformats.org/officeDocument/2006/relationships/hyperlink" Target="https://www.carmax.com/car/70044554" TargetMode="External" Id="rId73"/><Relationship Type="http://schemas.openxmlformats.org/officeDocument/2006/relationships/hyperlink" Target="https://www.carmax.com/car/28957924" TargetMode="External" Id="rId74"/><Relationship Type="http://schemas.openxmlformats.org/officeDocument/2006/relationships/hyperlink" Target="https://www.carmax.com/car/70130493" TargetMode="External" Id="rId75"/><Relationship Type="http://schemas.openxmlformats.org/officeDocument/2006/relationships/hyperlink" Target="https://www.carmax.com/car/29012634" TargetMode="External" Id="rId76"/><Relationship Type="http://schemas.openxmlformats.org/officeDocument/2006/relationships/hyperlink" Target="https://www.carmax.com/car/70071768" TargetMode="External" Id="rId77"/><Relationship Type="http://schemas.openxmlformats.org/officeDocument/2006/relationships/hyperlink" Target="https://www.carmax.com/car/28791528" TargetMode="External" Id="rId78"/><Relationship Type="http://schemas.openxmlformats.org/officeDocument/2006/relationships/hyperlink" Target="https://www.carmax.com/car/70052292" TargetMode="External" Id="rId79"/><Relationship Type="http://schemas.openxmlformats.org/officeDocument/2006/relationships/hyperlink" Target="https://www.carmax.com/car/28886079" TargetMode="External" Id="rId80"/><Relationship Type="http://schemas.openxmlformats.org/officeDocument/2006/relationships/hyperlink" Target="https://www.carmax.com/car/28888247" TargetMode="External" Id="rId81"/><Relationship Type="http://schemas.openxmlformats.org/officeDocument/2006/relationships/hyperlink" Target="https://www.carmax.com/car/70089100" TargetMode="External" Id="rId82"/><Relationship Type="http://schemas.openxmlformats.org/officeDocument/2006/relationships/hyperlink" Target="https://www.carmax.com/car/70055460" TargetMode="External" Id="rId83"/><Relationship Type="http://schemas.openxmlformats.org/officeDocument/2006/relationships/hyperlink" Target="https://www.cargurus.com/Cars/listing/455162937" TargetMode="External" Id="rId84"/><Relationship Type="http://schemas.openxmlformats.org/officeDocument/2006/relationships/hyperlink" Target="https://www.carmax.com/car/28684023" TargetMode="External" Id="rId85"/><Relationship Type="http://schemas.openxmlformats.org/officeDocument/2006/relationships/hyperlink" Target="https://www.carmax.com/car/28772578" TargetMode="External" Id="rId86"/><Relationship Type="http://schemas.openxmlformats.org/officeDocument/2006/relationships/hyperlink" Target="https://www.carmax.com/car/28890407" TargetMode="External" Id="rId87"/><Relationship Type="http://schemas.openxmlformats.org/officeDocument/2006/relationships/hyperlink" Target="https://www.carmax.com/car/28892237" TargetMode="External" Id="rId88"/><Relationship Type="http://schemas.openxmlformats.org/officeDocument/2006/relationships/hyperlink" Target="https://www.carmax.com/car/28799925" TargetMode="External" Id="rId89"/><Relationship Type="http://schemas.openxmlformats.org/officeDocument/2006/relationships/hyperlink" Target="https://www.carmax.com/car/28931195" TargetMode="External" Id="rId90"/><Relationship Type="http://schemas.openxmlformats.org/officeDocument/2006/relationships/hyperlink" Target="https://www.carmax.com/car/70131022" TargetMode="External" Id="rId91"/><Relationship Type="http://schemas.openxmlformats.org/officeDocument/2006/relationships/hyperlink" Target="https://www.carmax.com/car/29003912" TargetMode="External" Id="rId92"/><Relationship Type="http://schemas.openxmlformats.org/officeDocument/2006/relationships/hyperlink" Target="https://www.carmax.com/car/28827257" TargetMode="External" Id="rId93"/><Relationship Type="http://schemas.openxmlformats.org/officeDocument/2006/relationships/hyperlink" Target="https://www.craigslist.org/view/d/gladstone-2021-mazda-cx-awd-all-wheel/sKMi8s9-8RGq-eAa9RkMcg" TargetMode="External" Id="rId94"/><Relationship Type="http://schemas.openxmlformats.org/officeDocument/2006/relationships/hyperlink" Target="https://www.craigslist.org/view/d/gladstone-2021-mazda-cx-awd-all-wheel/WDvU8-iQ8RGn5dB1ElQqcw" TargetMode="External" Id="rId95"/><Relationship Type="http://schemas.openxmlformats.org/officeDocument/2006/relationships/hyperlink" Target="https://www.carmax.com/car/70056627" TargetMode="External" Id="rId96"/><Relationship Type="http://schemas.openxmlformats.org/officeDocument/2006/relationships/hyperlink" Target="https://www.carmax.com/car/70103302" TargetMode="External" Id="rId97"/><Relationship Type="http://schemas.openxmlformats.org/officeDocument/2006/relationships/hyperlink" Target="https://www.carmax.com/car/28931192" TargetMode="External" Id="rId98"/><Relationship Type="http://schemas.openxmlformats.org/officeDocument/2006/relationships/hyperlink" Target="https://www.carmax.com/car/29058496" TargetMode="External" Id="rId99"/><Relationship Type="http://schemas.openxmlformats.org/officeDocument/2006/relationships/hyperlink" Target="https://www.carmax.com/car/70056694" TargetMode="External" Id="rId100"/><Relationship Type="http://schemas.openxmlformats.org/officeDocument/2006/relationships/hyperlink" Target="https://www.carmax.com/car/29097552" TargetMode="External" Id="rId101"/><Relationship Type="http://schemas.openxmlformats.org/officeDocument/2006/relationships/hyperlink" Target="https://www.carvana.com/vehicle/4577285?ct=1&amp;utm_source=autotempest&amp;utm_medium=3rd-party-listing&amp;utm_campaign=new-vdp&amp;utm_content=3_20260807_5066263" TargetMode="External" Id="rId102"/><Relationship Type="http://schemas.openxmlformats.org/officeDocument/2006/relationships/hyperlink" Target="https://www.carmax.com/car/28056971" TargetMode="External" Id="rId103"/><Relationship Type="http://schemas.openxmlformats.org/officeDocument/2006/relationships/hyperlink" Target="https://www.cargurus.com/Cars/listing/454483164" TargetMode="External" Id="rId104"/><Relationship Type="http://schemas.openxmlformats.org/officeDocument/2006/relationships/hyperlink" Target="https://www.kbb.com/cars-for-sale/vehicle/782892304" TargetMode="External" Id="rId105"/><Relationship Type="http://schemas.openxmlformats.org/officeDocument/2006/relationships/hyperlink" Target="https://www.kbb.com/cars-for-sale/vehicle/781394345" TargetMode="External" Id="rId106"/><Relationship Type="http://schemas.openxmlformats.org/officeDocument/2006/relationships/hyperlink" Target="https://www.cars.com/vehicledetail/59d3b36d-7131-439c-a3b7-7b91343a454d/?aff=atempest&amp;utm_campaign=atempest&amp;utm_source=autotempest&amp;utm_medium=trp&amp;utm_campaign_id=1&amp;utm_trusted=TRUE" TargetMode="External" Id="rId107"/><Relationship Type="http://schemas.openxmlformats.org/officeDocument/2006/relationships/hyperlink" Target="https://www.kbb.com/cars-for-sale/vehicle/785130827" TargetMode="External" Id="rId108"/><Relationship Type="http://schemas.openxmlformats.org/officeDocument/2006/relationships/hyperlink" Target="https://www.kbb.com/cars-for-sale/vehicle/784660160" TargetMode="External" Id="rId109"/><Relationship Type="http://schemas.openxmlformats.org/officeDocument/2006/relationships/hyperlink" Target="https://www.kbb.com/cars-for-sale/vehicle/786226153" TargetMode="External" Id="rId110"/><Relationship Type="http://schemas.openxmlformats.org/officeDocument/2006/relationships/hyperlink" Target="https://www.cargurus.com/Cars/listing/453880111" TargetMode="External" Id="rId111"/><Relationship Type="http://schemas.openxmlformats.org/officeDocument/2006/relationships/hyperlink" Target="https://www.cargurus.com/Cars/listing/453833513" TargetMode="External" Id="rId112"/><Relationship Type="http://schemas.openxmlformats.org/officeDocument/2006/relationships/hyperlink" Target="https://www.kbb.com/cars-for-sale/vehicle/786017242" TargetMode="External" Id="rId113"/><Relationship Type="http://schemas.openxmlformats.org/officeDocument/2006/relationships/hyperlink" Target="https://www.cargurus.com/Cars/listing/453365225" TargetMode="External" Id="rId114"/><Relationship Type="http://schemas.openxmlformats.org/officeDocument/2006/relationships/hyperlink" Target="https://www.cargurus.com/Cars/listing/453093270" TargetMode="External" Id="rId115"/><Relationship Type="http://schemas.openxmlformats.org/officeDocument/2006/relationships/hyperlink" Target="https://www.truecar.com/used-cars-for-sale/listing/JM3KFBBM8M1316952/?referrer_id=autotempest" TargetMode="External" Id="rId116"/><Relationship Type="http://schemas.openxmlformats.org/officeDocument/2006/relationships/hyperlink" Target="https://www.cargurus.com/Cars/listing/454748289" TargetMode="External" Id="rId117"/><Relationship Type="http://schemas.openxmlformats.org/officeDocument/2006/relationships/hyperlink" Target="https://www.cargurus.com/Cars/listing/453213212" TargetMode="External" Id="rId118"/><Relationship Type="http://schemas.openxmlformats.org/officeDocument/2006/relationships/hyperlink" Target="https://www.cargurus.com/Cars/listing/454009445" TargetMode="External" Id="rId119"/><Relationship Type="http://schemas.openxmlformats.org/officeDocument/2006/relationships/hyperlink" Target="https://www.cargurus.com/Cars/listing/453942746" TargetMode="External" Id="rId120"/><Relationship Type="http://schemas.openxmlformats.org/officeDocument/2006/relationships/hyperlink" Target="https://www.cargurus.com/Cars/listing/452855294" TargetMode="External" Id="rId121"/><Relationship Type="http://schemas.openxmlformats.org/officeDocument/2006/relationships/hyperlink" Target="https://www.cargurus.com/Cars/listing/452758109" TargetMode="External" Id="rId122"/><Relationship Type="http://schemas.openxmlformats.org/officeDocument/2006/relationships/hyperlink" Target="https://www.cargurus.com/Cars/listing/451664662" TargetMode="External" Id="rId123"/><Relationship Type="http://schemas.openxmlformats.org/officeDocument/2006/relationships/hyperlink" Target="https://www.cargurus.com/Cars/listing/442758582" TargetMode="External" Id="rId124"/><Relationship Type="http://schemas.openxmlformats.org/officeDocument/2006/relationships/hyperlink" Target="https://www.cars.com/vehicledetail/5d2b5dad-6bde-4099-a03f-9f9c71c105ae/?aff=atempest&amp;utm_campaign=atempest&amp;utm_source=autotempest&amp;utm_medium=trp&amp;utm_campaign_id=1&amp;utm_trusted=TRUE" TargetMode="External" Id="rId125"/><Relationship Type="http://schemas.openxmlformats.org/officeDocument/2006/relationships/hyperlink" Target="https://www.cargurus.com/Cars/listing/431410121" TargetMode="External" Id="rId126"/><Relationship Type="http://schemas.openxmlformats.org/officeDocument/2006/relationships/hyperlink" Target="https://www.cargurus.com/Cars/listing/449187034" TargetMode="External" Id="rId127"/><Relationship Type="http://schemas.openxmlformats.org/officeDocument/2006/relationships/hyperlink" Target="https://www.carvana.com/vehicle/4604481?ct=1&amp;utm_source=autotempest&amp;utm_medium=3rd-party-listing&amp;utm_campaign=new-vdp&amp;utm_content=3_20260807_5111188" TargetMode="External" Id="rId128"/><Relationship Type="http://schemas.openxmlformats.org/officeDocument/2006/relationships/hyperlink" Target="https://www.carvana.com/vehicle/4603737?ct=1&amp;utm_source=autotempest&amp;utm_medium=3rd-party-listing&amp;utm_campaign=new-vdp&amp;utm_content=3_20260807_5088037" TargetMode="External" Id="rId129"/><Relationship Type="http://schemas.openxmlformats.org/officeDocument/2006/relationships/hyperlink" Target="https://www.carvana.com/vehicle/4611039?ct=1&amp;utm_source=autotempest&amp;utm_medium=3rd-party-listing&amp;utm_campaign=new-vdp&amp;utm_content=3_20260807_5120648" TargetMode="External" Id="rId130"/><Relationship Type="http://schemas.openxmlformats.org/officeDocument/2006/relationships/hyperlink" Target="https://www.carvana.com/vehicle/4585238?ct=1&amp;utm_source=autotempest&amp;utm_medium=3rd-party-listing&amp;utm_campaign=new-vdp&amp;utm_content=3_20260807_5064798" TargetMode="External" Id="rId131"/><Relationship Type="http://schemas.openxmlformats.org/officeDocument/2006/relationships/hyperlink" Target="https://www.carvana.com/vehicle/4620202?ct=1&amp;utm_source=autotempest&amp;utm_medium=3rd-party-listing&amp;utm_campaign=new-vdp&amp;utm_content=3_20260807_5136223" TargetMode="External" Id="rId132"/><Relationship Type="http://schemas.openxmlformats.org/officeDocument/2006/relationships/hyperlink" Target="https://www.carvana.com/vehicle/4614503?ct=1&amp;utm_source=autotempest&amp;utm_medium=3rd-party-listing&amp;utm_campaign=new-vdp&amp;utm_content=3_20260807_5127686" TargetMode="External" Id="rId133"/><Relationship Type="http://schemas.openxmlformats.org/officeDocument/2006/relationships/hyperlink" Target="https://www.carvana.com/vehicle/4628152?ct=1&amp;utm_source=autotempest&amp;utm_medium=3rd-party-listing&amp;utm_campaign=new-vdp&amp;utm_content=3_20260807_5111848" TargetMode="External" Id="rId134"/><Relationship Type="http://schemas.openxmlformats.org/officeDocument/2006/relationships/hyperlink" Target="https://www.carvana.com/vehicle/4600400?ct=1&amp;utm_source=autotempest&amp;utm_medium=3rd-party-listing&amp;utm_campaign=new-vdp&amp;utm_content=3_20260807_5107536" TargetMode="External" Id="rId135"/><Relationship Type="http://schemas.openxmlformats.org/officeDocument/2006/relationships/hyperlink" Target="https://www.carvana.com/vehicle/4550032?ct=1&amp;utm_source=autotempest&amp;utm_medium=3rd-party-listing&amp;utm_campaign=new-vdp&amp;utm_content=3_20260807_5024607" TargetMode="External" Id="rId136"/><Relationship Type="http://schemas.openxmlformats.org/officeDocument/2006/relationships/hyperlink" Target="https://www.carmax.com/car/70086864" TargetMode="External" Id="rId137"/><Relationship Type="http://schemas.openxmlformats.org/officeDocument/2006/relationships/hyperlink" Target="https://www.carmax.com/car/28955854" TargetMode="External" Id="rId138"/><Relationship Type="http://schemas.openxmlformats.org/officeDocument/2006/relationships/hyperlink" Target="https://www.carmax.com/car/28950564" TargetMode="External" Id="rId139"/><Relationship Type="http://schemas.openxmlformats.org/officeDocument/2006/relationships/hyperlink" Target="https://www.carmax.com/car/70136182" TargetMode="External" Id="rId140"/><Relationship Type="http://schemas.openxmlformats.org/officeDocument/2006/relationships/hyperlink" Target="https://www.carmax.com/car/70143112" TargetMode="External" Id="rId141"/><Relationship Type="http://schemas.openxmlformats.org/officeDocument/2006/relationships/hyperlink" Target="https://www.carmax.com/car/28781691" TargetMode="External" Id="rId142"/><Relationship Type="http://schemas.openxmlformats.org/officeDocument/2006/relationships/hyperlink" Target="https://www.carmax.com/car/28983581" TargetMode="External" Id="rId143"/><Relationship Type="http://schemas.openxmlformats.org/officeDocument/2006/relationships/hyperlink" Target="https://www.carmax.com/car/28932794" TargetMode="External" Id="rId144"/><Relationship Type="http://schemas.openxmlformats.org/officeDocument/2006/relationships/hyperlink" Target="https://www.carmax.com/car/29038107" TargetMode="External" Id="rId145"/><Relationship Type="http://schemas.openxmlformats.org/officeDocument/2006/relationships/hyperlink" Target="https://www.carmax.com/car/28854925" TargetMode="External" Id="rId146"/><Relationship Type="http://schemas.openxmlformats.org/officeDocument/2006/relationships/hyperlink" Target="https://www.carmax.com/car/28854749" TargetMode="External" Id="rId147"/><Relationship Type="http://schemas.openxmlformats.org/officeDocument/2006/relationships/hyperlink" Target="https://www.carmax.com/car/28984505" TargetMode="External" Id="rId148"/><Relationship Type="http://schemas.openxmlformats.org/officeDocument/2006/relationships/hyperlink" Target="https://www.carmax.com/car/29038730" TargetMode="External" Id="rId149"/><Relationship Type="http://schemas.openxmlformats.org/officeDocument/2006/relationships/hyperlink" Target="https://www.carmax.com/car/27696724" TargetMode="External" Id="rId150"/><Relationship Type="http://schemas.openxmlformats.org/officeDocument/2006/relationships/hyperlink" Target="https://www.carmax.com/car/28866516" TargetMode="External" Id="rId151"/><Relationship Type="http://schemas.openxmlformats.org/officeDocument/2006/relationships/hyperlink" Target="https://www.carmax.com/car/28987278" TargetMode="External" Id="rId152"/><Relationship Type="http://schemas.openxmlformats.org/officeDocument/2006/relationships/hyperlink" Target="https://www.kbb.com/cars-for-sale/vehicle/787629893" TargetMode="External" Id="rId153"/><Relationship Type="http://schemas.openxmlformats.org/officeDocument/2006/relationships/hyperlink" Target="https://www.kbb.com/cars-for-sale/vehicle/785317449" TargetMode="External" Id="rId154"/><Relationship Type="http://schemas.openxmlformats.org/officeDocument/2006/relationships/hyperlink" Target="https://www.kbb.com/cars-for-sale/vehicle/787292382" TargetMode="External" Id="rId155"/></Relationships>
</file>

<file path=xl/worksheets/_rels/sheet7.xml.rels><Relationships xmlns="http://schemas.openxmlformats.org/package/2006/relationships"><Relationship Type="http://schemas.openxmlformats.org/officeDocument/2006/relationships/hyperlink" Target="https://claude.ai/code/artifact/2ac4d4f9-0b2f-404a-80cc-ea3b353ffc3d" TargetMode="External" Id="rId1"/></Relationships>
</file>

<file path=xl/worksheets/sheet1.xml><?xml version="1.0" encoding="utf-8"?>
<worksheet xmlns="http://schemas.openxmlformats.org/spreadsheetml/2006/main">
  <sheetPr>
    <tabColor rgb="00B86046"/>
    <outlinePr summaryBelow="1" summaryRight="1"/>
    <pageSetUpPr/>
  </sheetPr>
  <dimension ref="A2:S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.5" customWidth="1" min="1" max="1"/>
    <col width="5" customWidth="1" min="2" max="2"/>
    <col width="11" customWidth="1" min="3" max="3"/>
    <col width="7" customWidth="1" min="4" max="4"/>
    <col width="22" customWidth="1" min="5" max="5"/>
    <col width="9" customWidth="1" min="6" max="6"/>
    <col width="10" customWidth="1" min="7" max="7"/>
    <col width="30" customWidth="1" min="8" max="8"/>
    <col width="22" customWidth="1" min="9" max="9"/>
    <col width="16" customWidth="1" min="10" max="10"/>
    <col width="15" customWidth="1" min="11" max="11"/>
    <col width="17" customWidth="1" min="12" max="12"/>
    <col width="46" customWidth="1" min="13" max="13"/>
    <col width="20" customWidth="1" min="14" max="14"/>
    <col width="10" customWidth="1" min="15" max="15"/>
    <col width="16" customWidth="1" min="16" max="16"/>
    <col width="17" customWidth="1" min="17" max="17"/>
    <col width="17" customWidth="1" min="18" max="18"/>
    <col width="13" customWidth="1" min="19" max="19"/>
  </cols>
  <sheetData>
    <row r="2" ht="24" customHeight="1">
      <c r="B2" s="1" t="inlineStr">
        <is>
          <t>2021–2023 Mazda CX-5 — Seattle Buyer's Report — Shortlist (11, ranked by value)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>
      <c r="B3" s="3" t="inlineStr">
        <is>
          <t>Within 250 mi of 98101 · under 50k mi · under $29k list · clean title / no accidents · Prices captured Aug 7, 2026 — listings change daily; verify before contacting. OTD = list × 1.1035 + $750 (+ xfer); 6.30% APR / 60 mo.</t>
        </is>
      </c>
    </row>
    <row r="5" ht="30" customHeight="1">
      <c r="B5" s="4" t="inlineStr">
        <is>
          <t>#</t>
        </is>
      </c>
      <c r="C5" s="4" t="inlineStr">
        <is>
          <t>Source</t>
        </is>
      </c>
      <c r="D5" s="4" t="inlineStr">
        <is>
          <t>Year</t>
        </is>
      </c>
      <c r="E5" s="4" t="inlineStr">
        <is>
          <t>Trim</t>
        </is>
      </c>
      <c r="F5" s="4" t="inlineStr">
        <is>
          <t>Miles</t>
        </is>
      </c>
      <c r="G5" s="4" t="inlineStr">
        <is>
          <t>List $</t>
        </is>
      </c>
      <c r="H5" s="4" t="inlineStr">
        <is>
          <t>Seller · City</t>
        </is>
      </c>
      <c r="I5" s="4" t="inlineStr">
        <is>
          <t>Deal / Δ</t>
        </is>
      </c>
      <c r="J5" s="4" t="inlineStr">
        <is>
          <t>1-own / Acc</t>
        </is>
      </c>
      <c r="K5" s="4" t="inlineStr">
        <is>
          <t>CPO</t>
        </is>
      </c>
      <c r="L5" s="4" t="inlineStr">
        <is>
          <t>Also on</t>
        </is>
      </c>
      <c r="M5" s="4" t="inlineStr">
        <is>
          <t>Note</t>
        </is>
      </c>
      <c r="N5" s="4" t="inlineStr">
        <is>
          <t>VIN</t>
        </is>
      </c>
      <c r="O5" s="4" t="inlineStr">
        <is>
          <t>OTD</t>
        </is>
      </c>
      <c r="P5" s="4" t="inlineStr">
        <is>
          <t>Monthly @ $0 down</t>
        </is>
      </c>
      <c r="Q5" s="4" t="inlineStr">
        <is>
          <t>Monthly @ $5k down</t>
        </is>
      </c>
      <c r="R5" s="4" t="inlineStr">
        <is>
          <t>Total interest @ $0</t>
        </is>
      </c>
      <c r="S5" s="4" t="inlineStr">
        <is>
          <t>Link</t>
        </is>
      </c>
    </row>
    <row r="6" ht="32" customHeight="1">
      <c r="B6" s="5" t="n">
        <v>1</v>
      </c>
      <c r="C6" s="6" t="inlineStr">
        <is>
          <t>CarGurus</t>
        </is>
      </c>
      <c r="D6" s="7" t="n">
        <v>2023</v>
      </c>
      <c r="E6" s="8" t="inlineStr">
        <is>
          <t>2.5 Turbo AWD</t>
        </is>
      </c>
      <c r="F6" s="9" t="n">
        <v>27990</v>
      </c>
      <c r="G6" s="10" t="n">
        <v>28199</v>
      </c>
      <c r="H6" s="8" t="inlineStr">
        <is>
          <t>Puyallup Mazda · Puyallup, WA</t>
        </is>
      </c>
      <c r="I6" s="8" t="inlineStr">
        <is>
          <t>Great · $2,781 &lt; FPP</t>
        </is>
      </c>
      <c r="J6" s="6" t="inlineStr">
        <is>
          <t>1-own / 0</t>
        </is>
      </c>
      <c r="K6" s="6" t="inlineStr">
        <is>
          <t>No</t>
        </is>
      </c>
      <c r="L6" s="6" t="inlineStr">
        <is>
          <t>KBB</t>
        </is>
      </c>
      <c r="M6" s="8" t="inlineStr">
        <is>
          <t>Stretch pick. 84d aged, biggest FPP gap in set.</t>
        </is>
      </c>
      <c r="N6" s="6" t="inlineStr">
        <is>
          <t>JM3KFBAY3P0289626</t>
        </is>
      </c>
      <c r="O6" s="10" t="n">
        <v>31868</v>
      </c>
      <c r="P6" s="10" t="n">
        <v>621</v>
      </c>
      <c r="Q6" s="10" t="n">
        <v>523</v>
      </c>
      <c r="R6" s="10" t="n">
        <v>5365</v>
      </c>
      <c r="S6" s="11" t="inlineStr">
        <is>
          <t>Open listing</t>
        </is>
      </c>
    </row>
    <row r="7" ht="32" customHeight="1">
      <c r="B7" s="5" t="n">
        <v>2</v>
      </c>
      <c r="C7" s="6" t="inlineStr">
        <is>
          <t>CarGurus</t>
        </is>
      </c>
      <c r="D7" s="7" t="n">
        <v>2022</v>
      </c>
      <c r="E7" s="8" t="inlineStr">
        <is>
          <t>2.5 Turbo AWD</t>
        </is>
      </c>
      <c r="F7" s="9" t="n">
        <v>25353</v>
      </c>
      <c r="G7" s="10" t="n">
        <v>27300</v>
      </c>
      <c r="H7" s="8" t="inlineStr">
        <is>
          <t>Acura of Seattle · Seattle, WA</t>
        </is>
      </c>
      <c r="I7" s="8" t="inlineStr">
        <is>
          <t>Great · $2,193 below</t>
        </is>
      </c>
      <c r="J7" s="6" t="inlineStr">
        <is>
          <t>2-own / 0</t>
        </is>
      </c>
      <c r="K7" s="6" t="inlineStr">
        <is>
          <t>No</t>
        </is>
      </c>
      <c r="L7" s="6" t="inlineStr">
        <is>
          <t>KBB, iSeeCars</t>
        </is>
      </c>
      <c r="M7" s="8" t="inlineStr">
        <is>
          <t>Lowest-mile turbo, 11 mi away. Ask why 2 owners.</t>
        </is>
      </c>
      <c r="N7" s="6" t="inlineStr">
        <is>
          <t>JM3KFBAY6N0592364</t>
        </is>
      </c>
      <c r="O7" s="10" t="n">
        <v>30876</v>
      </c>
      <c r="P7" s="10" t="n">
        <v>601</v>
      </c>
      <c r="Q7" s="10" t="n">
        <v>504</v>
      </c>
      <c r="R7" s="10" t="n">
        <v>5198</v>
      </c>
      <c r="S7" s="11" t="inlineStr">
        <is>
          <t>Open listing</t>
        </is>
      </c>
    </row>
    <row r="8" ht="32" customHeight="1">
      <c r="B8" s="5" t="n">
        <v>3</v>
      </c>
      <c r="C8" s="6" t="inlineStr">
        <is>
          <t>KBB</t>
        </is>
      </c>
      <c r="D8" s="7" t="n">
        <v>2021</v>
      </c>
      <c r="E8" s="8" t="inlineStr">
        <is>
          <t>GT Reserve (2.5T)</t>
        </is>
      </c>
      <c r="F8" s="9" t="n">
        <v>39146</v>
      </c>
      <c r="G8" s="10" t="n">
        <v>24999</v>
      </c>
      <c r="H8" s="8" t="inlineStr">
        <is>
          <t>BMW Seattle · Seattle, WA</t>
        </is>
      </c>
      <c r="I8" s="8" t="inlineStr">
        <is>
          <t>Great · $2,771 &lt; FPP</t>
        </is>
      </c>
      <c r="J8" s="6" t="inlineStr">
        <is>
          <t>2-own / 0</t>
        </is>
      </c>
      <c r="K8" s="6" t="inlineStr">
        <is>
          <t>No</t>
        </is>
      </c>
      <c r="L8" s="6" t="inlineStr">
        <is>
          <t>Cars.com, iSeeCars</t>
        </is>
      </c>
      <c r="M8" s="8" t="inlineStr">
        <is>
          <t>Cheapest turbo. KBB vhr now confirms 0 acc / no frame / no flood (was “unverified” in R1).</t>
        </is>
      </c>
      <c r="N8" s="6" t="inlineStr">
        <is>
          <t>JM3KFBAY5M0463157</t>
        </is>
      </c>
      <c r="O8" s="10" t="n">
        <v>28336</v>
      </c>
      <c r="P8" s="10" t="n">
        <v>552</v>
      </c>
      <c r="Q8" s="10" t="n">
        <v>454</v>
      </c>
      <c r="R8" s="10" t="n">
        <v>4771</v>
      </c>
      <c r="S8" s="11" t="inlineStr">
        <is>
          <t>Open listing</t>
        </is>
      </c>
    </row>
    <row r="9" ht="32" customHeight="1">
      <c r="B9" s="5" t="n">
        <v>4</v>
      </c>
      <c r="C9" s="6" t="inlineStr">
        <is>
          <t>KBB</t>
        </is>
      </c>
      <c r="D9" s="7" t="n">
        <v>2021</v>
      </c>
      <c r="E9" s="8" t="inlineStr">
        <is>
          <t>Carbon Edition</t>
        </is>
      </c>
      <c r="F9" s="9" t="n">
        <v>34800</v>
      </c>
      <c r="G9" s="10" t="n">
        <v>26512</v>
      </c>
      <c r="H9" s="8" t="inlineStr">
        <is>
          <t>Ron Tonkin Honda · Portland, OR</t>
        </is>
      </c>
      <c r="I9" s="8" t="inlineStr">
        <is>
          <t>Great · $2,612 &lt; FPP</t>
        </is>
      </c>
      <c r="J9" s="6" t="inlineStr">
        <is>
          <t>1-own / 0</t>
        </is>
      </c>
      <c r="K9" s="6" t="inlineStr">
        <is>
          <t>No</t>
        </is>
      </c>
      <c r="L9" s="6" t="inlineStr">
        <is>
          <t>Cars.com, iSeeCars</t>
        </is>
      </c>
      <c r="M9" s="8" t="inlineStr">
        <is>
          <t>New R2 find. 3 price drops, 59d aged.</t>
        </is>
      </c>
      <c r="N9" s="6" t="inlineStr">
        <is>
          <t>JM3KFBCYXM0385696</t>
        </is>
      </c>
      <c r="O9" s="10" t="n">
        <v>30006</v>
      </c>
      <c r="P9" s="10" t="n">
        <v>584</v>
      </c>
      <c r="Q9" s="10" t="n">
        <v>487</v>
      </c>
      <c r="R9" s="10" t="n">
        <v>5052</v>
      </c>
      <c r="S9" s="11" t="inlineStr">
        <is>
          <t>Open listing</t>
        </is>
      </c>
    </row>
    <row r="10" ht="32" customHeight="1">
      <c r="B10" s="5" t="n">
        <v>5</v>
      </c>
      <c r="C10" s="6" t="inlineStr">
        <is>
          <t>CarGurus</t>
        </is>
      </c>
      <c r="D10" s="7" t="n">
        <v>2021</v>
      </c>
      <c r="E10" s="8" t="inlineStr">
        <is>
          <t>Grand Touring AWD</t>
        </is>
      </c>
      <c r="F10" s="9" t="n">
        <v>33175</v>
      </c>
      <c r="G10" s="10" t="n">
        <v>25192</v>
      </c>
      <c r="H10" s="8" t="inlineStr">
        <is>
          <t>Hyundai of Kirkland · Kirkland, WA</t>
        </is>
      </c>
      <c r="I10" s="8" t="inlineStr">
        <is>
          <t>Good · $3,048 &lt; FPP</t>
        </is>
      </c>
      <c r="J10" s="6" t="inlineStr">
        <is>
          <t>1-own / 0</t>
        </is>
      </c>
      <c r="K10" s="6" t="inlineStr">
        <is>
          <t>No</t>
        </is>
      </c>
      <c r="L10" s="6" t="inlineStr">
        <is>
          <t>KBB</t>
        </is>
      </c>
      <c r="M10" s="8" t="inlineStr">
        <is>
          <t>Cheapest solid. 3 drops, 43d. Note: KBB lists dealer as “Ford of Kirkland” — same lot.</t>
        </is>
      </c>
      <c r="N10" s="6" t="inlineStr">
        <is>
          <t>JM3KFBDM3M0301052</t>
        </is>
      </c>
      <c r="O10" s="10" t="n">
        <v>28549</v>
      </c>
      <c r="P10" s="10" t="n">
        <v>556</v>
      </c>
      <c r="Q10" s="10" t="n">
        <v>459</v>
      </c>
      <c r="R10" s="10" t="n">
        <v>4806</v>
      </c>
      <c r="S10" s="11" t="inlineStr">
        <is>
          <t>Open listing</t>
        </is>
      </c>
    </row>
    <row r="11" ht="32" customHeight="1">
      <c r="B11" s="5" t="n">
        <v>6</v>
      </c>
      <c r="C11" s="6" t="inlineStr">
        <is>
          <t>CarGurus</t>
        </is>
      </c>
      <c r="D11" s="7" t="n">
        <v>2021</v>
      </c>
      <c r="E11" s="8" t="inlineStr">
        <is>
          <t>Carbon Ed Turbo AWD</t>
        </is>
      </c>
      <c r="F11" s="9" t="n">
        <v>42515</v>
      </c>
      <c r="G11" s="10" t="n">
        <v>25198</v>
      </c>
      <c r="H11" s="8" t="inlineStr">
        <is>
          <t>Puyallup Mazda · Puyallup, WA</t>
        </is>
      </c>
      <c r="I11" s="8" t="inlineStr">
        <is>
          <t>Good · $1,720 below</t>
        </is>
      </c>
      <c r="J11" s="6" t="inlineStr">
        <is>
          <t>2-own / 0</t>
        </is>
      </c>
      <c r="K11" s="6" t="inlineStr">
        <is>
          <t>No</t>
        </is>
      </c>
      <c r="L11" s="6" t="inlineStr">
        <is>
          <t>KBB</t>
        </is>
      </c>
      <c r="M11" s="8" t="inlineStr">
        <is>
          <t>Cheapest turbo alt. Higher miles.</t>
        </is>
      </c>
      <c r="N11" s="6" t="inlineStr">
        <is>
          <t>JM3KFBDYXM0120596</t>
        </is>
      </c>
      <c r="O11" s="10" t="n">
        <v>28556</v>
      </c>
      <c r="P11" s="10" t="n">
        <v>556</v>
      </c>
      <c r="Q11" s="10" t="n">
        <v>459</v>
      </c>
      <c r="R11" s="10" t="n">
        <v>4808</v>
      </c>
      <c r="S11" s="11" t="inlineStr">
        <is>
          <t>Open listing</t>
        </is>
      </c>
    </row>
    <row r="12" ht="32" customHeight="1">
      <c r="B12" s="5" t="n">
        <v>7</v>
      </c>
      <c r="C12" s="6" t="inlineStr">
        <is>
          <t>CarGurus</t>
        </is>
      </c>
      <c r="D12" s="7" t="n">
        <v>2022</v>
      </c>
      <c r="E12" s="8" t="inlineStr">
        <is>
          <t>2.5 S Carbon Edition</t>
        </is>
      </c>
      <c r="F12" s="9" t="n">
        <v>34749</v>
      </c>
      <c r="G12" s="10" t="n">
        <v>26972</v>
      </c>
      <c r="H12" s="8" t="inlineStr">
        <is>
          <t>Lee Johnson Mazda · Seattle, WA</t>
        </is>
      </c>
      <c r="I12" s="8" t="inlineStr">
        <is>
          <t>Good · $978 below</t>
        </is>
      </c>
      <c r="J12" s="6" t="inlineStr">
        <is>
          <t>1-own / 0</t>
        </is>
      </c>
      <c r="K12" s="6" t="inlineStr">
        <is>
          <t>Yes</t>
        </is>
      </c>
      <c r="L12" s="6" t="inlineStr">
        <is>
          <t>KBB, iSeeCars</t>
        </is>
      </c>
      <c r="M12" s="8" t="inlineStr">
        <is>
          <t>Only in-Seattle CPO. 6 mi away.</t>
        </is>
      </c>
      <c r="N12" s="6" t="inlineStr">
        <is>
          <t>JM3KFBCM4N0546820</t>
        </is>
      </c>
      <c r="O12" s="10" t="n">
        <v>30514</v>
      </c>
      <c r="P12" s="10" t="n">
        <v>594</v>
      </c>
      <c r="Q12" s="10" t="n">
        <v>497</v>
      </c>
      <c r="R12" s="10" t="n">
        <v>5137</v>
      </c>
      <c r="S12" s="11" t="inlineStr">
        <is>
          <t>Open listing</t>
        </is>
      </c>
    </row>
    <row r="13" ht="32" customHeight="1">
      <c r="B13" s="5" t="n">
        <v>8</v>
      </c>
      <c r="C13" s="6" t="inlineStr">
        <is>
          <t>CarGurus</t>
        </is>
      </c>
      <c r="D13" s="7" t="n">
        <v>2023</v>
      </c>
      <c r="E13" s="8" t="inlineStr">
        <is>
          <t>2.5 S Preferred</t>
        </is>
      </c>
      <c r="F13" s="9" t="n">
        <v>16612</v>
      </c>
      <c r="G13" s="10" t="n">
        <v>26900</v>
      </c>
      <c r="H13" s="8" t="inlineStr">
        <is>
          <t>Royal Moore Mazda · Hillsboro, OR</t>
        </is>
      </c>
      <c r="I13" s="8" t="inlineStr">
        <is>
          <t>Good · $808 below</t>
        </is>
      </c>
      <c r="J13" s="6" t="inlineStr">
        <is>
          <t>1-own / 0</t>
        </is>
      </c>
      <c r="K13" s="6" t="inlineStr">
        <is>
          <t>No</t>
        </is>
      </c>
      <c r="L13" s="6" t="inlineStr">
        <is>
          <t>Craigslist</t>
        </is>
      </c>
      <c r="M13" s="8" t="inlineStr">
        <is>
          <t>Lowest miles (16.6k). OR car, 148 mi.</t>
        </is>
      </c>
      <c r="N13" s="6" t="inlineStr">
        <is>
          <t>JM3KFBCM6P0274841</t>
        </is>
      </c>
      <c r="O13" s="10" t="n">
        <v>30434</v>
      </c>
      <c r="P13" s="10" t="n">
        <v>593</v>
      </c>
      <c r="Q13" s="10" t="n">
        <v>495</v>
      </c>
      <c r="R13" s="10" t="n">
        <v>5124</v>
      </c>
      <c r="S13" s="11" t="inlineStr">
        <is>
          <t>Open listing</t>
        </is>
      </c>
    </row>
    <row r="14" ht="32" customHeight="1">
      <c r="B14" s="5" t="n">
        <v>9</v>
      </c>
      <c r="C14" s="6" t="inlineStr">
        <is>
          <t>CarGurus</t>
        </is>
      </c>
      <c r="D14" s="7" t="n">
        <v>2023</v>
      </c>
      <c r="E14" s="8" t="inlineStr">
        <is>
          <t>2.5 S Carbon Edition</t>
        </is>
      </c>
      <c r="F14" s="9" t="n">
        <v>33006</v>
      </c>
      <c r="G14" s="10" t="n">
        <v>27699</v>
      </c>
      <c r="H14" s="8" t="inlineStr">
        <is>
          <t>Puyallup Mazda · Puyallup, WA</t>
        </is>
      </c>
      <c r="I14" s="8" t="inlineStr">
        <is>
          <t>Good · $521 below</t>
        </is>
      </c>
      <c r="J14" s="6" t="inlineStr">
        <is>
          <t>1-own / 0</t>
        </is>
      </c>
      <c r="K14" s="6" t="inlineStr">
        <is>
          <t>Yes</t>
        </is>
      </c>
      <c r="L14" s="6" t="inlineStr">
        <is>
          <t>KBB</t>
        </is>
      </c>
      <c r="M14" s="8" t="inlineStr">
        <is>
          <t>Newest CPO — warranty to 2030/100k.</t>
        </is>
      </c>
      <c r="N14" s="6" t="inlineStr">
        <is>
          <t>JM3KFBCMXP0288130</t>
        </is>
      </c>
      <c r="O14" s="10" t="n">
        <v>31316</v>
      </c>
      <c r="P14" s="10" t="n">
        <v>610</v>
      </c>
      <c r="Q14" s="10" t="n">
        <v>512</v>
      </c>
      <c r="R14" s="10" t="n">
        <v>5272</v>
      </c>
      <c r="S14" s="11" t="inlineStr">
        <is>
          <t>Open listing</t>
        </is>
      </c>
    </row>
    <row r="15" ht="32" customHeight="1">
      <c r="B15" s="5" t="n">
        <v>10</v>
      </c>
      <c r="C15" s="6" t="inlineStr">
        <is>
          <t>Cars.com</t>
        </is>
      </c>
      <c r="D15" s="7" t="n">
        <v>2023</v>
      </c>
      <c r="E15" s="8" t="inlineStr">
        <is>
          <t>2.5 S Preferred</t>
        </is>
      </c>
      <c r="F15" s="9" t="n">
        <v>44989</v>
      </c>
      <c r="G15" s="10" t="n">
        <v>24095</v>
      </c>
      <c r="H15" s="8" t="inlineStr">
        <is>
          <t>Columbia Sales &amp; Service · Portland, OR</t>
        </is>
      </c>
      <c r="I15" s="8" t="inlineStr">
        <is>
          <t>Cars.com “Great”</t>
        </is>
      </c>
      <c r="J15" s="6" t="inlineStr">
        <is>
          <t>history unverified</t>
        </is>
      </c>
      <c r="K15" s="6" t="inlineStr">
        <is>
          <t>?</t>
        </is>
      </c>
      <c r="L15" s="6" t="inlineStr">
        <is>
          <t>iSeeCars</t>
        </is>
      </c>
      <c r="M15" s="8" t="inlineStr">
        <is>
          <t>Cheapest 2023. Indie lot — pull Carfax before contact.</t>
        </is>
      </c>
      <c r="N15" s="6" t="inlineStr">
        <is>
          <t>JM3KFBCM9P0119426</t>
        </is>
      </c>
      <c r="O15" s="10" t="n">
        <v>27339</v>
      </c>
      <c r="P15" s="10" t="n">
        <v>532</v>
      </c>
      <c r="Q15" s="10" t="n">
        <v>435</v>
      </c>
      <c r="R15" s="10" t="n">
        <v>4603</v>
      </c>
      <c r="S15" s="11" t="inlineStr">
        <is>
          <t>Open listing</t>
        </is>
      </c>
    </row>
    <row r="16" ht="32" customHeight="1">
      <c r="B16" s="5" t="n">
        <v>11</v>
      </c>
      <c r="C16" s="6" t="inlineStr">
        <is>
          <t>CarMax</t>
        </is>
      </c>
      <c r="D16" s="7" t="n">
        <v>2022</v>
      </c>
      <c r="E16" s="8" t="inlineStr">
        <is>
          <t>Carbon Edition</t>
        </is>
      </c>
      <c r="F16" s="9" t="n">
        <v>48337</v>
      </c>
      <c r="G16" s="10" t="n">
        <v>24998</v>
      </c>
      <c r="H16" s="8" t="inlineStr">
        <is>
          <t>CarMax Sacramento, CA · $199 xfer</t>
        </is>
      </c>
      <c r="I16" s="8" t="inlineStr">
        <is>
          <t>no-haggle</t>
        </is>
      </c>
      <c r="J16" s="6" t="inlineStr">
        <is>
          <t>— / —</t>
        </is>
      </c>
      <c r="K16" s="6" t="inlineStr">
        <is>
          <t>CarMax warranty</t>
        </is>
      </c>
      <c r="L16" s="6" t="inlineStr">
        <is>
          <t>—</t>
        </is>
      </c>
      <c r="M16" s="8" t="inlineStr">
        <is>
          <t>No-haggle floor. Cheapest wanted-trim 2022 at CarMax within cheap-transfer range.</t>
        </is>
      </c>
      <c r="N16" s="6" t="inlineStr">
        <is>
          <t>JM3KFBCM0N1599511</t>
        </is>
      </c>
      <c r="O16" s="10" t="n">
        <v>28534</v>
      </c>
      <c r="P16" s="10" t="n">
        <v>556</v>
      </c>
      <c r="Q16" s="10" t="n">
        <v>458</v>
      </c>
      <c r="R16" s="10" t="n">
        <v>4804</v>
      </c>
      <c r="S16" s="11" t="inlineStr">
        <is>
          <t>Open listing</t>
        </is>
      </c>
    </row>
    <row r="18">
      <c r="B18" s="3" t="inlineStr">
        <is>
          <t>Notable disqualifications: 2021 Touring $22,900 Royal Moore (accident); 2021 Signature $24,490 Monroe (accident); 2021 GT 15k-mi $27,282 Tacoma (accident); 2022 Preferred $24,998 CarMax Beaverton (accident); 3 KBB listings with ACCIDENTS_REPORTED; 21 unwanted-trim (Select/base 2.5 S) not &gt;$3k under year-avg.</t>
        </is>
      </c>
    </row>
    <row r="19">
      <c r="B19" s="3" t="inlineStr">
        <is>
          <t>Filtered from 163 merged records → 112 passed disqualifiers (0 accidents, non-fleet, no lemon/frame, ≥6 photos where known, VIN present or CL/iSeeCars-flagged, wanted trim). Ranked on deal-rating / KBB-FPP-delta → $-below-market → 1-owner → CPO → mi/$. At least 3 non-CarGurus sources enforced. All VINs = 0 open NHTSA recalls (2021/22/23 CX-5, checked 8/7/26).</t>
        </is>
      </c>
    </row>
    <row r="20">
      <c r="B20" s="3" t="inlineStr">
        <is>
          <t>Blue = value captured from the listing source / published report; black = computed. Live payment formulas are on the "Monthly cost" tab.</t>
        </is>
      </c>
    </row>
  </sheetData>
  <autoFilter ref="B5:S16"/>
  <hyperlinks>
    <hyperlink xmlns:r="http://schemas.openxmlformats.org/officeDocument/2006/relationships" ref="S6" r:id="rId1"/>
    <hyperlink xmlns:r="http://schemas.openxmlformats.org/officeDocument/2006/relationships" ref="S7" r:id="rId2"/>
    <hyperlink xmlns:r="http://schemas.openxmlformats.org/officeDocument/2006/relationships" ref="S8" r:id="rId3"/>
    <hyperlink xmlns:r="http://schemas.openxmlformats.org/officeDocument/2006/relationships" ref="S9" r:id="rId4"/>
    <hyperlink xmlns:r="http://schemas.openxmlformats.org/officeDocument/2006/relationships" ref="S10" r:id="rId5"/>
    <hyperlink xmlns:r="http://schemas.openxmlformats.org/officeDocument/2006/relationships" ref="S11" r:id="rId6"/>
    <hyperlink xmlns:r="http://schemas.openxmlformats.org/officeDocument/2006/relationships" ref="S12" r:id="rId7"/>
    <hyperlink xmlns:r="http://schemas.openxmlformats.org/officeDocument/2006/relationships" ref="S13" r:id="rId8"/>
    <hyperlink xmlns:r="http://schemas.openxmlformats.org/officeDocument/2006/relationships" ref="S14" r:id="rId9"/>
    <hyperlink xmlns:r="http://schemas.openxmlformats.org/officeDocument/2006/relationships" ref="S15" r:id="rId10"/>
    <hyperlink xmlns:r="http://schemas.openxmlformats.org/officeDocument/2006/relationships" ref="S16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2:N36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3.5" customWidth="1" min="1" max="1"/>
    <col width="22" customWidth="1" min="2" max="2"/>
    <col width="3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20" customWidth="1" min="9" max="9"/>
    <col width="20" customWidth="1" min="10" max="10"/>
    <col width="16" customWidth="1" min="11" max="11"/>
    <col width="16" customWidth="1" min="12" max="12"/>
    <col width="16" customWidth="1" min="13" max="13"/>
    <col width="20" customWidth="1" min="14" max="14"/>
  </cols>
  <sheetData>
    <row r="2" ht="24" customHeight="1">
      <c r="B2" s="1" t="inlineStr">
        <is>
          <t>Monthly cost — live calculator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B3" s="3" t="inlineStr">
        <is>
          <t>Change the blue input cells (APR, term, down payments, tax, fees); OTD, payments and interest recalculate. Defaults reproduce the published report.</t>
        </is>
      </c>
    </row>
    <row r="5">
      <c r="B5" s="12" t="inlineStr">
        <is>
          <t>Inputs</t>
        </is>
      </c>
      <c r="C5" s="13" t="n"/>
      <c r="D5" s="13" t="n"/>
      <c r="E5" s="13" t="n"/>
    </row>
    <row r="6">
      <c r="B6" s="14" t="inlineStr">
        <is>
          <t>APR</t>
        </is>
      </c>
      <c r="C6" s="15" t="n">
        <v>0.063</v>
      </c>
      <c r="D6" s="3" t="inlineStr">
        <is>
          <t>Bankrate super-prime used-auto average, updated 7/31/26 · BECU 5.99% effective 8/1/26 · no Mazda CPO promo on CX-5 (3.9% is CX-90 / CX-70 only)</t>
        </is>
      </c>
    </row>
    <row r="7">
      <c r="B7" s="14" t="inlineStr">
        <is>
          <t>Term (months)</t>
        </is>
      </c>
      <c r="C7" s="16" t="n">
        <v>60</v>
      </c>
    </row>
    <row r="8">
      <c r="B8" s="14" t="inlineStr">
        <is>
          <t>Down payment A</t>
        </is>
      </c>
      <c r="C8" s="17" t="n">
        <v>0</v>
      </c>
      <c r="D8" s="3" t="inlineStr">
        <is>
          <t>Used for the "@ down A" columns (report: $0)</t>
        </is>
      </c>
    </row>
    <row r="9">
      <c r="B9" s="14" t="inlineStr">
        <is>
          <t>Down payment B</t>
        </is>
      </c>
      <c r="C9" s="17" t="n">
        <v>5000</v>
      </c>
      <c r="D9" s="3" t="inlineStr">
        <is>
          <t>Used for the "@ down B" columns (report: $5,000)</t>
        </is>
      </c>
    </row>
    <row r="10">
      <c r="B10" s="14" t="inlineStr">
        <is>
          <t>Seattle sales tax</t>
        </is>
      </c>
      <c r="C10" s="15" t="n">
        <v>0.1035</v>
      </c>
    </row>
    <row r="11">
      <c r="B11" s="14" t="inlineStr">
        <is>
          <t>Doc fee</t>
        </is>
      </c>
      <c r="C11" s="17" t="n">
        <v>200</v>
      </c>
    </row>
    <row r="12">
      <c r="B12" s="14" t="inlineStr">
        <is>
          <t>Title / registration</t>
        </is>
      </c>
      <c r="C12" s="17" t="n">
        <v>550</v>
      </c>
    </row>
    <row r="13">
      <c r="B13" s="14" t="inlineStr">
        <is>
          <t>Out-the-door</t>
        </is>
      </c>
      <c r="C13" s="3" t="inlineStr">
        <is>
          <t>OTD = list × (1 + tax) + doc + title/reg (+ transfer fee where noted)  →  list × 1.1035 + $750 at defaults</t>
        </is>
      </c>
    </row>
    <row r="14">
      <c r="B14" s="14" t="inlineStr">
        <is>
          <t>Payment</t>
        </is>
      </c>
      <c r="C14" s="3" t="inlineStr">
        <is>
          <t>M = P · r(1+r)^n / ((1+r)^n − 1),  r = APR / 12,  n = term  (Excel: −PMT(r, n, P))</t>
        </is>
      </c>
    </row>
    <row r="15">
      <c r="B15" s="18" t="inlineStr">
        <is>
          <t>Per $1,000 financed</t>
        </is>
      </c>
      <c r="C15" s="19">
        <f>-PMT($C$6/12,$C$7,1000)</f>
        <v/>
      </c>
      <c r="D15" s="3" t="inlineStr">
        <is>
          <t>≈ $/mo per $1,000 financed (report: $19.47 at 6.30% / 60 mo)</t>
        </is>
      </c>
    </row>
    <row r="17" ht="30" customHeight="1">
      <c r="B17" s="4" t="inlineStr">
        <is>
          <t>#</t>
        </is>
      </c>
      <c r="C17" s="4" t="inlineStr">
        <is>
          <t>Car</t>
        </is>
      </c>
      <c r="D17" s="4" t="inlineStr">
        <is>
          <t>List price</t>
        </is>
      </c>
      <c r="E17" s="4" t="inlineStr">
        <is>
          <t>Transfer fee</t>
        </is>
      </c>
      <c r="F17" s="4" t="inlineStr">
        <is>
          <t>OTD</t>
        </is>
      </c>
      <c r="G17" s="4" t="inlineStr">
        <is>
          <t>Monthly @ down A</t>
        </is>
      </c>
      <c r="H17" s="4" t="inlineStr">
        <is>
          <t>Monthly @ down B</t>
        </is>
      </c>
      <c r="I17" s="4" t="inlineStr">
        <is>
          <t>Total interest @ down A</t>
        </is>
      </c>
      <c r="J17" s="4" t="inlineStr">
        <is>
          <t>Total interest @ down B</t>
        </is>
      </c>
      <c r="K17" s="20" t="inlineStr">
        <is>
          <t>As published: OTD</t>
        </is>
      </c>
      <c r="L17" s="20" t="inlineStr">
        <is>
          <t>As published: @ $0</t>
        </is>
      </c>
      <c r="M17" s="20" t="inlineStr">
        <is>
          <t>As published: @ $5k</t>
        </is>
      </c>
      <c r="N17" s="20" t="inlineStr">
        <is>
          <t>As published: interest @ $0</t>
        </is>
      </c>
    </row>
    <row r="18">
      <c r="B18" s="21" t="n">
        <v>1</v>
      </c>
      <c r="C18" s="14" t="inlineStr">
        <is>
          <t>2023 2.5 Turbo</t>
        </is>
      </c>
      <c r="D18" s="22" t="n">
        <v>28199</v>
      </c>
      <c r="E18" s="22" t="n">
        <v>0</v>
      </c>
      <c r="F18" s="23">
        <f>D18*(1+$C$10)+$C$11+$C$12+E18</f>
        <v/>
      </c>
      <c r="G18" s="23">
        <f>-PMT($C$6/12,$C$7,F18-$C$8)</f>
        <v/>
      </c>
      <c r="H18" s="23">
        <f>-PMT($C$6/12,$C$7,F18-$C$9)</f>
        <v/>
      </c>
      <c r="I18" s="23">
        <f>G18*$C$7-(F18-$C$8)</f>
        <v/>
      </c>
      <c r="J18" s="23">
        <f>H18*$C$7-(F18-$C$9)</f>
        <v/>
      </c>
      <c r="K18" s="24" t="n">
        <v>31868</v>
      </c>
      <c r="L18" s="24" t="n">
        <v>621</v>
      </c>
      <c r="M18" s="24" t="n">
        <v>523</v>
      </c>
      <c r="N18" s="24" t="n">
        <v>5365</v>
      </c>
    </row>
    <row r="19">
      <c r="B19" s="21" t="n">
        <v>2</v>
      </c>
      <c r="C19" s="14" t="inlineStr">
        <is>
          <t>2022 2.5 Turbo</t>
        </is>
      </c>
      <c r="D19" s="22" t="n">
        <v>27300</v>
      </c>
      <c r="E19" s="22" t="n">
        <v>0</v>
      </c>
      <c r="F19" s="23">
        <f>D19*(1+$C$10)+$C$11+$C$12+E19</f>
        <v/>
      </c>
      <c r="G19" s="23">
        <f>-PMT($C$6/12,$C$7,F19-$C$8)</f>
        <v/>
      </c>
      <c r="H19" s="23">
        <f>-PMT($C$6/12,$C$7,F19-$C$9)</f>
        <v/>
      </c>
      <c r="I19" s="23">
        <f>G19*$C$7-(F19-$C$8)</f>
        <v/>
      </c>
      <c r="J19" s="23">
        <f>H19*$C$7-(F19-$C$9)</f>
        <v/>
      </c>
      <c r="K19" s="24" t="n">
        <v>30876</v>
      </c>
      <c r="L19" s="24" t="n">
        <v>601</v>
      </c>
      <c r="M19" s="24" t="n">
        <v>504</v>
      </c>
      <c r="N19" s="24" t="n">
        <v>5198</v>
      </c>
    </row>
    <row r="20">
      <c r="B20" s="21" t="n">
        <v>3</v>
      </c>
      <c r="C20" s="14" t="inlineStr">
        <is>
          <t>2021 GT Reserve (2.5T)</t>
        </is>
      </c>
      <c r="D20" s="22" t="n">
        <v>24999</v>
      </c>
      <c r="E20" s="22" t="n">
        <v>0</v>
      </c>
      <c r="F20" s="23">
        <f>D20*(1+$C$10)+$C$11+$C$12+E20</f>
        <v/>
      </c>
      <c r="G20" s="23">
        <f>-PMT($C$6/12,$C$7,F20-$C$8)</f>
        <v/>
      </c>
      <c r="H20" s="23">
        <f>-PMT($C$6/12,$C$7,F20-$C$9)</f>
        <v/>
      </c>
      <c r="I20" s="23">
        <f>G20*$C$7-(F20-$C$8)</f>
        <v/>
      </c>
      <c r="J20" s="23">
        <f>H20*$C$7-(F20-$C$9)</f>
        <v/>
      </c>
      <c r="K20" s="24" t="n">
        <v>28336</v>
      </c>
      <c r="L20" s="24" t="n">
        <v>552</v>
      </c>
      <c r="M20" s="24" t="n">
        <v>454</v>
      </c>
      <c r="N20" s="24" t="n">
        <v>4771</v>
      </c>
    </row>
    <row r="21">
      <c r="B21" s="21" t="n">
        <v>4</v>
      </c>
      <c r="C21" s="14" t="inlineStr">
        <is>
          <t>2021 Carbon Edition</t>
        </is>
      </c>
      <c r="D21" s="22" t="n">
        <v>26512</v>
      </c>
      <c r="E21" s="22" t="n">
        <v>0</v>
      </c>
      <c r="F21" s="23">
        <f>D21*(1+$C$10)+$C$11+$C$12+E21</f>
        <v/>
      </c>
      <c r="G21" s="23">
        <f>-PMT($C$6/12,$C$7,F21-$C$8)</f>
        <v/>
      </c>
      <c r="H21" s="23">
        <f>-PMT($C$6/12,$C$7,F21-$C$9)</f>
        <v/>
      </c>
      <c r="I21" s="23">
        <f>G21*$C$7-(F21-$C$8)</f>
        <v/>
      </c>
      <c r="J21" s="23">
        <f>H21*$C$7-(F21-$C$9)</f>
        <v/>
      </c>
      <c r="K21" s="24" t="n">
        <v>30006</v>
      </c>
      <c r="L21" s="24" t="n">
        <v>584</v>
      </c>
      <c r="M21" s="24" t="n">
        <v>487</v>
      </c>
      <c r="N21" s="24" t="n">
        <v>5052</v>
      </c>
    </row>
    <row r="22">
      <c r="B22" s="21" t="n">
        <v>5</v>
      </c>
      <c r="C22" s="14" t="inlineStr">
        <is>
          <t>2021 Grand Touring</t>
        </is>
      </c>
      <c r="D22" s="22" t="n">
        <v>25192</v>
      </c>
      <c r="E22" s="22" t="n">
        <v>0</v>
      </c>
      <c r="F22" s="23">
        <f>D22*(1+$C$10)+$C$11+$C$12+E22</f>
        <v/>
      </c>
      <c r="G22" s="23">
        <f>-PMT($C$6/12,$C$7,F22-$C$8)</f>
        <v/>
      </c>
      <c r="H22" s="23">
        <f>-PMT($C$6/12,$C$7,F22-$C$9)</f>
        <v/>
      </c>
      <c r="I22" s="23">
        <f>G22*$C$7-(F22-$C$8)</f>
        <v/>
      </c>
      <c r="J22" s="23">
        <f>H22*$C$7-(F22-$C$9)</f>
        <v/>
      </c>
      <c r="K22" s="24" t="n">
        <v>28549</v>
      </c>
      <c r="L22" s="24" t="n">
        <v>556</v>
      </c>
      <c r="M22" s="24" t="n">
        <v>459</v>
      </c>
      <c r="N22" s="24" t="n">
        <v>4806</v>
      </c>
    </row>
    <row r="23">
      <c r="B23" s="21" t="n">
        <v>6</v>
      </c>
      <c r="C23" s="14" t="inlineStr">
        <is>
          <t>2021 Carbon Ed Turbo</t>
        </is>
      </c>
      <c r="D23" s="22" t="n">
        <v>25198</v>
      </c>
      <c r="E23" s="22" t="n">
        <v>0</v>
      </c>
      <c r="F23" s="23">
        <f>D23*(1+$C$10)+$C$11+$C$12+E23</f>
        <v/>
      </c>
      <c r="G23" s="23">
        <f>-PMT($C$6/12,$C$7,F23-$C$8)</f>
        <v/>
      </c>
      <c r="H23" s="23">
        <f>-PMT($C$6/12,$C$7,F23-$C$9)</f>
        <v/>
      </c>
      <c r="I23" s="23">
        <f>G23*$C$7-(F23-$C$8)</f>
        <v/>
      </c>
      <c r="J23" s="23">
        <f>H23*$C$7-(F23-$C$9)</f>
        <v/>
      </c>
      <c r="K23" s="24" t="n">
        <v>28556</v>
      </c>
      <c r="L23" s="24" t="n">
        <v>556</v>
      </c>
      <c r="M23" s="24" t="n">
        <v>459</v>
      </c>
      <c r="N23" s="24" t="n">
        <v>4808</v>
      </c>
    </row>
    <row r="24">
      <c r="B24" s="21" t="n">
        <v>7</v>
      </c>
      <c r="C24" s="14" t="inlineStr">
        <is>
          <t>2022 2.5 S Carbon Edition</t>
        </is>
      </c>
      <c r="D24" s="22" t="n">
        <v>26972</v>
      </c>
      <c r="E24" s="22" t="n">
        <v>0</v>
      </c>
      <c r="F24" s="23">
        <f>D24*(1+$C$10)+$C$11+$C$12+E24</f>
        <v/>
      </c>
      <c r="G24" s="23">
        <f>-PMT($C$6/12,$C$7,F24-$C$8)</f>
        <v/>
      </c>
      <c r="H24" s="23">
        <f>-PMT($C$6/12,$C$7,F24-$C$9)</f>
        <v/>
      </c>
      <c r="I24" s="23">
        <f>G24*$C$7-(F24-$C$8)</f>
        <v/>
      </c>
      <c r="J24" s="23">
        <f>H24*$C$7-(F24-$C$9)</f>
        <v/>
      </c>
      <c r="K24" s="24" t="n">
        <v>30514</v>
      </c>
      <c r="L24" s="24" t="n">
        <v>594</v>
      </c>
      <c r="M24" s="24" t="n">
        <v>497</v>
      </c>
      <c r="N24" s="24" t="n">
        <v>5137</v>
      </c>
    </row>
    <row r="25">
      <c r="B25" s="21" t="n">
        <v>8</v>
      </c>
      <c r="C25" s="14" t="inlineStr">
        <is>
          <t>2023 2.5 S Preferred</t>
        </is>
      </c>
      <c r="D25" s="22" t="n">
        <v>26900</v>
      </c>
      <c r="E25" s="22" t="n">
        <v>0</v>
      </c>
      <c r="F25" s="23">
        <f>D25*(1+$C$10)+$C$11+$C$12+E25</f>
        <v/>
      </c>
      <c r="G25" s="23">
        <f>-PMT($C$6/12,$C$7,F25-$C$8)</f>
        <v/>
      </c>
      <c r="H25" s="23">
        <f>-PMT($C$6/12,$C$7,F25-$C$9)</f>
        <v/>
      </c>
      <c r="I25" s="23">
        <f>G25*$C$7-(F25-$C$8)</f>
        <v/>
      </c>
      <c r="J25" s="23">
        <f>H25*$C$7-(F25-$C$9)</f>
        <v/>
      </c>
      <c r="K25" s="24" t="n">
        <v>30434</v>
      </c>
      <c r="L25" s="24" t="n">
        <v>593</v>
      </c>
      <c r="M25" s="24" t="n">
        <v>495</v>
      </c>
      <c r="N25" s="24" t="n">
        <v>5124</v>
      </c>
    </row>
    <row r="26">
      <c r="B26" s="21" t="n">
        <v>9</v>
      </c>
      <c r="C26" s="14" t="inlineStr">
        <is>
          <t>2023 2.5 S Carbon Edition</t>
        </is>
      </c>
      <c r="D26" s="22" t="n">
        <v>27699</v>
      </c>
      <c r="E26" s="22" t="n">
        <v>0</v>
      </c>
      <c r="F26" s="23">
        <f>D26*(1+$C$10)+$C$11+$C$12+E26</f>
        <v/>
      </c>
      <c r="G26" s="23">
        <f>-PMT($C$6/12,$C$7,F26-$C$8)</f>
        <v/>
      </c>
      <c r="H26" s="23">
        <f>-PMT($C$6/12,$C$7,F26-$C$9)</f>
        <v/>
      </c>
      <c r="I26" s="23">
        <f>G26*$C$7-(F26-$C$8)</f>
        <v/>
      </c>
      <c r="J26" s="23">
        <f>H26*$C$7-(F26-$C$9)</f>
        <v/>
      </c>
      <c r="K26" s="24" t="n">
        <v>31316</v>
      </c>
      <c r="L26" s="24" t="n">
        <v>610</v>
      </c>
      <c r="M26" s="24" t="n">
        <v>512</v>
      </c>
      <c r="N26" s="24" t="n">
        <v>5272</v>
      </c>
    </row>
    <row r="27">
      <c r="B27" s="21" t="n">
        <v>10</v>
      </c>
      <c r="C27" s="14" t="inlineStr">
        <is>
          <t>2023 2.5 S Preferred (Columbia)</t>
        </is>
      </c>
      <c r="D27" s="22" t="n">
        <v>24095</v>
      </c>
      <c r="E27" s="22" t="n">
        <v>0</v>
      </c>
      <c r="F27" s="23">
        <f>D27*(1+$C$10)+$C$11+$C$12+E27</f>
        <v/>
      </c>
      <c r="G27" s="23">
        <f>-PMT($C$6/12,$C$7,F27-$C$8)</f>
        <v/>
      </c>
      <c r="H27" s="23">
        <f>-PMT($C$6/12,$C$7,F27-$C$9)</f>
        <v/>
      </c>
      <c r="I27" s="23">
        <f>G27*$C$7-(F27-$C$8)</f>
        <v/>
      </c>
      <c r="J27" s="23">
        <f>H27*$C$7-(F27-$C$9)</f>
        <v/>
      </c>
      <c r="K27" s="24" t="n">
        <v>27339</v>
      </c>
      <c r="L27" s="24" t="n">
        <v>532</v>
      </c>
      <c r="M27" s="24" t="n">
        <v>435</v>
      </c>
      <c r="N27" s="24" t="n">
        <v>4603</v>
      </c>
    </row>
    <row r="28">
      <c r="B28" s="21" t="n">
        <v>11</v>
      </c>
      <c r="C28" s="14" t="inlineStr">
        <is>
          <t>2022 Carbon Ed (CarMax +$199 xfer)</t>
        </is>
      </c>
      <c r="D28" s="22" t="n">
        <v>24998</v>
      </c>
      <c r="E28" s="22" t="n">
        <v>199</v>
      </c>
      <c r="F28" s="23">
        <f>D28*(1+$C$10)+$C$11+$C$12+E28</f>
        <v/>
      </c>
      <c r="G28" s="23">
        <f>-PMT($C$6/12,$C$7,F28-$C$8)</f>
        <v/>
      </c>
      <c r="H28" s="23">
        <f>-PMT($C$6/12,$C$7,F28-$C$9)</f>
        <v/>
      </c>
      <c r="I28" s="23">
        <f>G28*$C$7-(F28-$C$8)</f>
        <v/>
      </c>
      <c r="J28" s="23">
        <f>H28*$C$7-(F28-$C$9)</f>
        <v/>
      </c>
      <c r="K28" s="24" t="n">
        <v>28534</v>
      </c>
      <c r="L28" s="24" t="n">
        <v>556</v>
      </c>
      <c r="M28" s="24" t="n">
        <v>458</v>
      </c>
      <c r="N28" s="24" t="n">
        <v>4804</v>
      </c>
    </row>
    <row r="30">
      <c r="B30" s="18" t="inlineStr">
        <is>
          <t>Rule of thumb</t>
        </is>
      </c>
      <c r="C30" s="14">
        <f>"Every $1,000 financed ≈ "&amp;TEXT($C$15,"$#,##0.00")&amp;"/mo at "&amp;TEXT($C$6,"0.00%")&amp;" / "&amp;$C$7&amp;" mo"</f>
        <v/>
      </c>
    </row>
    <row r="32">
      <c r="B32" s="18" t="inlineStr">
        <is>
          <t>Cheapest solid vs. stretch</t>
        </is>
      </c>
    </row>
    <row r="33" ht="30" customHeight="1">
      <c r="B33" s="4" t="inlineStr"/>
      <c r="C33" s="4" t="inlineStr">
        <is>
          <t>Year / Trim</t>
        </is>
      </c>
      <c r="D33" s="4" t="inlineStr">
        <is>
          <t>List</t>
        </is>
      </c>
      <c r="E33" s="4" t="inlineStr">
        <is>
          <t>OTD</t>
        </is>
      </c>
      <c r="F33" s="4" t="inlineStr">
        <is>
          <t>Monthly @ down A</t>
        </is>
      </c>
      <c r="G33" s="4" t="inlineStr">
        <is>
          <t>Monthly @ down B</t>
        </is>
      </c>
    </row>
    <row r="34">
      <c r="B34" s="18" t="inlineStr">
        <is>
          <t>Cheapest solid</t>
        </is>
      </c>
      <c r="C34" s="14" t="inlineStr">
        <is>
          <t>2021 Grand Touring · 33k mi (#5)</t>
        </is>
      </c>
      <c r="D34" s="23">
        <f>D22</f>
        <v/>
      </c>
      <c r="E34" s="23">
        <f>F22</f>
        <v/>
      </c>
      <c r="F34" s="23">
        <f>G22</f>
        <v/>
      </c>
      <c r="G34" s="23">
        <f>H22</f>
        <v/>
      </c>
    </row>
    <row r="35">
      <c r="B35" s="18" t="inlineStr">
        <is>
          <t>Stretch</t>
        </is>
      </c>
      <c r="C35" s="14" t="inlineStr">
        <is>
          <t>2023 2.5 Turbo · 28k mi (#1)</t>
        </is>
      </c>
      <c r="D35" s="23">
        <f>D18</f>
        <v/>
      </c>
      <c r="E35" s="23">
        <f>F18</f>
        <v/>
      </c>
      <c r="F35" s="23">
        <f>G18</f>
        <v/>
      </c>
      <c r="G35" s="23">
        <f>H18</f>
        <v/>
      </c>
    </row>
    <row r="36">
      <c r="B36" s="25" t="inlineStr">
        <is>
          <t>Δ</t>
        </is>
      </c>
      <c r="C36" s="26" t="inlineStr">
        <is>
          <t>+2 model yrs, +turbo, −5k mi</t>
        </is>
      </c>
      <c r="D36" s="27">
        <f>D35-D34</f>
        <v/>
      </c>
      <c r="E36" s="27">
        <f>E35-E34</f>
        <v/>
      </c>
      <c r="F36" s="27">
        <f>F35-F34</f>
        <v/>
      </c>
      <c r="G36" s="27">
        <f>G35-G34</f>
        <v/>
      </c>
      <c r="H36" s="3" t="inlineStr">
        <is>
          <t>report: +$3,007 list, +$3,318 OTD, +$65/mo</t>
        </is>
      </c>
    </row>
  </sheetData>
  <autoFilter ref="B17:N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2:J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.5" customWidth="1" min="1" max="1"/>
    <col width="7" customWidth="1" min="2" max="2"/>
    <col width="24" customWidth="1" min="3" max="3"/>
    <col width="14" customWidth="1" min="4" max="4"/>
    <col width="16" customWidth="1" min="5" max="5"/>
    <col width="18" customWidth="1" min="6" max="6"/>
    <col width="11" customWidth="1" min="7" max="7"/>
    <col width="14" customWidth="1" min="8" max="8"/>
    <col width="13" customWidth="1" min="9" max="9"/>
    <col width="11" customWidth="1" min="10" max="10"/>
  </cols>
  <sheetData>
    <row r="2" ht="24" customHeight="1">
      <c r="B2" s="1" t="inlineStr">
        <is>
          <t>Trim-by-trim value — KBB Fair Purchase Price vs. lowest clean listing found</t>
        </is>
      </c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B3" s="3" t="inlineStr">
        <is>
          <t>KBB national = kbb.com pricing pages (default zip, “typical” mileage). KBB Seattle = per-listing FPP averaged from KBB search results (mileage-adjusted, local). Δ = lowest clean listing − Seattle FPP (or national when Seattle n/a).</t>
        </is>
      </c>
    </row>
    <row r="5" ht="30" customHeight="1">
      <c r="B5" s="4" t="inlineStr">
        <is>
          <t>Year</t>
        </is>
      </c>
      <c r="C5" s="4" t="inlineStr">
        <is>
          <t>Trim</t>
        </is>
      </c>
      <c r="D5" s="4" t="inlineStr">
        <is>
          <t>KBB nat'l FPP</t>
        </is>
      </c>
      <c r="E5" s="4" t="inlineStr">
        <is>
          <t>KBB Seattle FPP¹</t>
        </is>
      </c>
      <c r="F5" s="4" t="inlineStr">
        <is>
          <t>Lowest clean listing</t>
        </is>
      </c>
      <c r="G5" s="4" t="inlineStr">
        <is>
          <t>Source</t>
        </is>
      </c>
      <c r="H5" s="4" t="inlineStr">
        <is>
          <t>Δ vs Seattle</t>
        </is>
      </c>
      <c r="I5" s="4" t="inlineStr">
        <is>
          <t>Δ basis</t>
        </is>
      </c>
      <c r="J5" s="4" t="inlineStr">
        <is>
          <t>Listings (n)</t>
        </is>
      </c>
    </row>
    <row r="6">
      <c r="B6" s="28" t="n">
        <v>2021</v>
      </c>
      <c r="C6" s="14" t="inlineStr">
        <is>
          <t>Touring</t>
        </is>
      </c>
      <c r="D6" s="22" t="n">
        <v>18600</v>
      </c>
      <c r="E6" s="22" t="n">
        <v>25809</v>
      </c>
      <c r="F6" s="22" t="n">
        <v>23998</v>
      </c>
      <c r="G6" s="14" t="inlineStr">
        <is>
          <t>CarMax</t>
        </is>
      </c>
      <c r="H6" s="29">
        <f>F6-IF(E6="",D6,E6)</f>
        <v/>
      </c>
      <c r="I6" s="14" t="inlineStr">
        <is>
          <t>vs Seattle</t>
        </is>
      </c>
      <c r="J6" s="30" t="n">
        <v>6</v>
      </c>
    </row>
    <row r="7">
      <c r="B7" s="28" t="n">
        <v>2021</v>
      </c>
      <c r="C7" s="14" t="inlineStr">
        <is>
          <t>Grand Touring</t>
        </is>
      </c>
      <c r="D7" s="22" t="n">
        <v>19900</v>
      </c>
      <c r="E7" s="22" t="n">
        <v>27552</v>
      </c>
      <c r="F7" s="22" t="n">
        <v>24998</v>
      </c>
      <c r="G7" s="14" t="inlineStr">
        <is>
          <t>CarMax</t>
        </is>
      </c>
      <c r="H7" s="29">
        <f>F7-IF(E7="",D7,E7)</f>
        <v/>
      </c>
      <c r="I7" s="14" t="inlineStr">
        <is>
          <t>vs Seattle</t>
        </is>
      </c>
      <c r="J7" s="30" t="n">
        <v>8</v>
      </c>
    </row>
    <row r="8">
      <c r="B8" s="28" t="n">
        <v>2021</v>
      </c>
      <c r="C8" s="14" t="inlineStr">
        <is>
          <t>Carbon Edition</t>
        </is>
      </c>
      <c r="D8" s="22" t="n">
        <v>21100</v>
      </c>
      <c r="E8" s="22" t="n">
        <v>28678</v>
      </c>
      <c r="F8" s="22" t="n">
        <v>26512</v>
      </c>
      <c r="G8" s="14" t="inlineStr">
        <is>
          <t>KBB</t>
        </is>
      </c>
      <c r="H8" s="29">
        <f>F8-IF(E8="",D8,E8)</f>
        <v/>
      </c>
      <c r="I8" s="14" t="inlineStr">
        <is>
          <t>vs Seattle</t>
        </is>
      </c>
      <c r="J8" s="30" t="n">
        <v>3</v>
      </c>
    </row>
    <row r="9">
      <c r="B9" s="28" t="n">
        <v>2021</v>
      </c>
      <c r="C9" s="14" t="inlineStr">
        <is>
          <t>Carbon Ed Turbo</t>
        </is>
      </c>
      <c r="D9" s="22" t="n">
        <v>21700</v>
      </c>
      <c r="E9" s="22" t="n"/>
      <c r="F9" s="22" t="n">
        <v>25198</v>
      </c>
      <c r="G9" s="14" t="inlineStr">
        <is>
          <t>CarGurus</t>
        </is>
      </c>
      <c r="H9" s="29">
        <f>F9-IF(E9="",D9,E9)</f>
        <v/>
      </c>
      <c r="I9" s="31" t="inlineStr">
        <is>
          <t>vs national²</t>
        </is>
      </c>
      <c r="J9" s="30" t="n">
        <v>2</v>
      </c>
    </row>
    <row r="10">
      <c r="B10" s="32" t="n">
        <v>2021</v>
      </c>
      <c r="C10" s="33" t="inlineStr">
        <is>
          <t>GT Reserve (turbo)</t>
        </is>
      </c>
      <c r="D10" s="34" t="n">
        <v>21800</v>
      </c>
      <c r="E10" s="34" t="n">
        <v>27770</v>
      </c>
      <c r="F10" s="34" t="n">
        <v>24999</v>
      </c>
      <c r="G10" s="35" t="inlineStr">
        <is>
          <t>KBB</t>
        </is>
      </c>
      <c r="H10" s="36">
        <f>F10-IF(E10="",D10,E10)</f>
        <v/>
      </c>
      <c r="I10" s="35" t="inlineStr">
        <is>
          <t>vs Seattle</t>
        </is>
      </c>
      <c r="J10" s="37" t="n">
        <v>2</v>
      </c>
    </row>
    <row r="11">
      <c r="B11" s="32" t="n">
        <v>2021</v>
      </c>
      <c r="C11" s="33" t="inlineStr">
        <is>
          <t>Signature (turbo)</t>
        </is>
      </c>
      <c r="D11" s="34" t="n">
        <v>21700</v>
      </c>
      <c r="E11" s="34" t="n">
        <v>25041</v>
      </c>
      <c r="F11" s="34" t="n">
        <v>26462</v>
      </c>
      <c r="G11" s="35" t="inlineStr">
        <is>
          <t>KBB</t>
        </is>
      </c>
      <c r="H11" s="36">
        <f>F11-IF(E11="",D11,E11)</f>
        <v/>
      </c>
      <c r="I11" s="35" t="inlineStr">
        <is>
          <t>vs Seattle</t>
        </is>
      </c>
      <c r="J11" s="37" t="n">
        <v>3</v>
      </c>
    </row>
    <row r="12">
      <c r="B12" s="28" t="n">
        <v>2022</v>
      </c>
      <c r="C12" s="14" t="inlineStr">
        <is>
          <t>2.5 S Preferred</t>
        </is>
      </c>
      <c r="D12" s="22" t="n">
        <v>21800</v>
      </c>
      <c r="E12" s="22" t="n"/>
      <c r="F12" s="22" t="n">
        <v>24998</v>
      </c>
      <c r="G12" s="14" t="inlineStr">
        <is>
          <t>CarMax</t>
        </is>
      </c>
      <c r="H12" s="29">
        <f>F12-IF(E12="",D12,E12)</f>
        <v/>
      </c>
      <c r="I12" s="31" t="inlineStr">
        <is>
          <t>vs national²</t>
        </is>
      </c>
      <c r="J12" s="30" t="n">
        <v>3</v>
      </c>
    </row>
    <row r="13">
      <c r="B13" s="28" t="n">
        <v>2022</v>
      </c>
      <c r="C13" s="14" t="inlineStr">
        <is>
          <t>2.5 S Premium</t>
        </is>
      </c>
      <c r="D13" s="22" t="n">
        <v>22500</v>
      </c>
      <c r="E13" s="22" t="n"/>
      <c r="F13" s="22" t="n">
        <v>25998</v>
      </c>
      <c r="G13" s="14" t="inlineStr">
        <is>
          <t>CarMax</t>
        </is>
      </c>
      <c r="H13" s="29">
        <f>F13-IF(E13="",D13,E13)</f>
        <v/>
      </c>
      <c r="I13" s="31" t="inlineStr">
        <is>
          <t>vs national²</t>
        </is>
      </c>
      <c r="J13" s="30" t="n">
        <v>4</v>
      </c>
    </row>
    <row r="14">
      <c r="B14" s="28" t="n">
        <v>2022</v>
      </c>
      <c r="C14" s="14" t="inlineStr">
        <is>
          <t>2.5 S Premium Plus</t>
        </is>
      </c>
      <c r="D14" s="22" t="n">
        <v>23200</v>
      </c>
      <c r="E14" s="22" t="n">
        <v>27000</v>
      </c>
      <c r="F14" s="22" t="n">
        <v>27389</v>
      </c>
      <c r="G14" s="14" t="inlineStr">
        <is>
          <t>KBB</t>
        </is>
      </c>
      <c r="H14" s="29">
        <f>F14-IF(E14="",D14,E14)</f>
        <v/>
      </c>
      <c r="I14" s="14" t="inlineStr">
        <is>
          <t>vs Seattle</t>
        </is>
      </c>
      <c r="J14" s="30" t="n">
        <v>2</v>
      </c>
    </row>
    <row r="15">
      <c r="B15" s="28" t="n">
        <v>2022</v>
      </c>
      <c r="C15" s="14" t="inlineStr">
        <is>
          <t>2.5 S Carbon Edition</t>
        </is>
      </c>
      <c r="D15" s="22" t="n">
        <v>22900</v>
      </c>
      <c r="E15" s="22" t="n">
        <v>25934</v>
      </c>
      <c r="F15" s="22" t="n">
        <v>24998</v>
      </c>
      <c r="G15" s="14" t="inlineStr">
        <is>
          <t>CarMax</t>
        </is>
      </c>
      <c r="H15" s="29">
        <f>F15-IF(E15="",D15,E15)</f>
        <v/>
      </c>
      <c r="I15" s="14" t="inlineStr">
        <is>
          <t>vs Seattle</t>
        </is>
      </c>
      <c r="J15" s="30" t="n">
        <v>8</v>
      </c>
    </row>
    <row r="16">
      <c r="B16" s="28" t="n">
        <v>2022</v>
      </c>
      <c r="C16" s="14" t="inlineStr">
        <is>
          <t>2.5 Turbo</t>
        </is>
      </c>
      <c r="D16" s="22" t="n">
        <v>22900</v>
      </c>
      <c r="E16" s="22" t="n">
        <v>27370</v>
      </c>
      <c r="F16" s="22" t="n">
        <v>27300</v>
      </c>
      <c r="G16" s="14" t="inlineStr">
        <is>
          <t>CarGurus</t>
        </is>
      </c>
      <c r="H16" s="29">
        <f>F16-IF(E16="",D16,E16)</f>
        <v/>
      </c>
      <c r="I16" s="14" t="inlineStr">
        <is>
          <t>vs Seattle</t>
        </is>
      </c>
      <c r="J16" s="30" t="n">
        <v>2</v>
      </c>
    </row>
    <row r="17">
      <c r="B17" s="28" t="n">
        <v>2023</v>
      </c>
      <c r="C17" s="14" t="inlineStr">
        <is>
          <t>2.5 S Preferred</t>
        </is>
      </c>
      <c r="D17" s="22" t="n">
        <v>23400</v>
      </c>
      <c r="E17" s="22" t="n"/>
      <c r="F17" s="22" t="n">
        <v>24095</v>
      </c>
      <c r="G17" s="14" t="inlineStr">
        <is>
          <t>Cars.com</t>
        </is>
      </c>
      <c r="H17" s="29">
        <f>F17-IF(E17="",D17,E17)</f>
        <v/>
      </c>
      <c r="I17" s="31" t="inlineStr">
        <is>
          <t>vs national²</t>
        </is>
      </c>
      <c r="J17" s="30" t="n">
        <v>12</v>
      </c>
    </row>
    <row r="18">
      <c r="B18" s="28" t="n">
        <v>2023</v>
      </c>
      <c r="C18" s="14" t="inlineStr">
        <is>
          <t>2.5 S Premium</t>
        </is>
      </c>
      <c r="D18" s="22" t="n">
        <v>24500</v>
      </c>
      <c r="E18" s="22" t="n">
        <v>27825</v>
      </c>
      <c r="F18" s="22" t="n">
        <v>27545</v>
      </c>
      <c r="G18" s="14" t="inlineStr">
        <is>
          <t>CarGurus</t>
        </is>
      </c>
      <c r="H18" s="29">
        <f>F18-IF(E18="",D18,E18)</f>
        <v/>
      </c>
      <c r="I18" s="14" t="inlineStr">
        <is>
          <t>vs Seattle</t>
        </is>
      </c>
      <c r="J18" s="30" t="n">
        <v>4</v>
      </c>
    </row>
    <row r="19">
      <c r="B19" s="28" t="n">
        <v>2023</v>
      </c>
      <c r="C19" s="14" t="inlineStr">
        <is>
          <t>2.5 S Premium Plus</t>
        </is>
      </c>
      <c r="D19" s="22" t="n">
        <v>26100</v>
      </c>
      <c r="E19" s="22" t="n">
        <v>30161</v>
      </c>
      <c r="F19" s="22" t="n">
        <v>28915</v>
      </c>
      <c r="G19" s="14" t="inlineStr">
        <is>
          <t>CarGurus</t>
        </is>
      </c>
      <c r="H19" s="29">
        <f>F19-IF(E19="",D19,E19)</f>
        <v/>
      </c>
      <c r="I19" s="14" t="inlineStr">
        <is>
          <t>vs Seattle</t>
        </is>
      </c>
      <c r="J19" s="30" t="n">
        <v>3</v>
      </c>
    </row>
    <row r="20">
      <c r="B20" s="28" t="n">
        <v>2023</v>
      </c>
      <c r="C20" s="14" t="inlineStr">
        <is>
          <t>2.5 S Carbon Edition</t>
        </is>
      </c>
      <c r="D20" s="22" t="n">
        <v>24600</v>
      </c>
      <c r="E20" s="22" t="n">
        <v>27373</v>
      </c>
      <c r="F20" s="22" t="n">
        <v>26998</v>
      </c>
      <c r="G20" s="14" t="inlineStr">
        <is>
          <t>CarMax</t>
        </is>
      </c>
      <c r="H20" s="29">
        <f>F20-IF(E20="",D20,E20)</f>
        <v/>
      </c>
      <c r="I20" s="14" t="inlineStr">
        <is>
          <t>vs Seattle</t>
        </is>
      </c>
      <c r="J20" s="30" t="n">
        <v>8</v>
      </c>
    </row>
    <row r="21">
      <c r="B21" s="32" t="n">
        <v>2023</v>
      </c>
      <c r="C21" s="33" t="inlineStr">
        <is>
          <t>2.5 Turbo</t>
        </is>
      </c>
      <c r="D21" s="34" t="n">
        <v>25900</v>
      </c>
      <c r="E21" s="34" t="n">
        <v>30980</v>
      </c>
      <c r="F21" s="34" t="n">
        <v>28199</v>
      </c>
      <c r="G21" s="35" t="inlineStr">
        <is>
          <t>CarGurus</t>
        </is>
      </c>
      <c r="H21" s="36">
        <f>F21-IF(E21="",D21,E21)</f>
        <v/>
      </c>
      <c r="I21" s="35" t="inlineStr">
        <is>
          <t>vs Seattle</t>
        </is>
      </c>
      <c r="J21" s="37" t="n">
        <v>2</v>
      </c>
    </row>
    <row r="23">
      <c r="B23" s="3" t="inlineStr">
        <is>
          <t>¹ Seattle FPP = mean of per-listing kbbFppAmount from KBB search results (n=1–5 per cell).</t>
        </is>
      </c>
    </row>
    <row r="24">
      <c r="B24" s="3" t="inlineStr">
        <is>
          <t>² No Seattle FPP for this cell; Δ shown vs national — national is systematically ~$3–5k low (default-zip, higher-mileage assumption), so treat these as “at market,” not overpriced.</t>
        </is>
      </c>
    </row>
    <row r="26">
      <c r="B26" s="18" t="inlineStr">
        <is>
          <t>Where the market is soft right now</t>
        </is>
      </c>
    </row>
    <row r="27">
      <c r="B27" s="14" t="inlineStr">
        <is>
          <t>• 2023 2.5 Turbo is the standout buy — $28,199 vs Seattle FPP $30,980, ~$2.8k under. Only 2 in the dataset and both under book. If you want the turbo, 2023 is cheaper relative to value than 2022 ($27,300 vs $27,370 FPP = at-market).</t>
        </is>
      </c>
    </row>
    <row r="28">
      <c r="B28" s="14" t="inlineStr">
        <is>
          <t>• 2021 GT Reserve at $24,999 is turbo + vented leather + HUD for Grand-Touring money — $2,771 under its own FPP and only $200 more than a 2021 GT.</t>
        </is>
      </c>
    </row>
    <row r="29">
      <c r="B29" s="14" t="inlineStr">
        <is>
          <t>• Premium Plus is worth the stretch over Premium: 2023 Premium lowest is $27,545, Premium Plus lowest is $28,915 — $1,370 gap buys 360° camera, vented seats, wireless CarPlay, rear heated seats. That's ~$27/mo.</t>
        </is>
      </c>
    </row>
    <row r="30">
      <c r="B30" s="14" t="inlineStr">
        <is>
          <t>• Avoid 2021 Signature — trading $1,400 over Seattle FPP; the GT Reserve one rung down is $1,500 cheaper for the same drivetrain.</t>
        </is>
      </c>
    </row>
  </sheetData>
  <autoFilter ref="B5:J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2:Z16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.5" customWidth="1" min="1" max="1"/>
    <col width="8" customWidth="1" min="2" max="2"/>
    <col width="16" customWidth="1" min="3" max="3"/>
    <col width="10" customWidth="1" min="4" max="4"/>
    <col width="11" customWidth="1" min="5" max="5"/>
    <col width="18" customWidth="1" min="6" max="6"/>
    <col width="6" customWidth="1" min="7" max="7"/>
    <col width="30" customWidth="1" min="8" max="8"/>
    <col width="9" customWidth="1" min="9" max="9"/>
    <col width="10" customWidth="1" min="10" max="10"/>
    <col width="30" customWidth="1" min="11" max="11"/>
    <col width="16" customWidth="1" min="12" max="12"/>
    <col width="6" customWidth="1" min="13" max="13"/>
    <col width="20" customWidth="1" min="14" max="14"/>
    <col width="12" customWidth="1" min="15" max="15"/>
    <col width="14" customWidth="1" min="16" max="16"/>
    <col width="15" customWidth="1" min="17" max="17"/>
    <col width="14" customWidth="1" min="18" max="18"/>
    <col width="10" customWidth="1" min="19" max="19"/>
    <col width="10" customWidth="1" min="20" max="20"/>
    <col width="8" customWidth="1" min="21" max="21"/>
    <col width="11" customWidth="1" min="22" max="22"/>
    <col width="11" customWidth="1" min="23" max="23"/>
    <col width="16" customWidth="1" min="24" max="24"/>
    <col width="34" customWidth="1" min="25" max="25"/>
    <col width="8" customWidth="1" min="26" max="26"/>
  </cols>
  <sheetData>
    <row r="2" ht="24" customHeight="1">
      <c r="B2" s="1" t="inlineStr">
        <is>
          <t>All merged listings — 163 records (112 passed filters, 51 disqualified)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B3" s="3" t="inlineStr">
        <is>
          <t>Merged / de-duplicated by VIN from 278 raw records across sources; passed rows are in the report's value-rank order. Captured Aug 7, 2026. below_market_$ = CarGurus $ below market; kbb_fpp_delta_$ = KBB Seattle fair purchase price − list (positive = under book).</t>
        </is>
      </c>
    </row>
    <row r="5" ht="30" customHeight="1">
      <c r="B5" s="4" t="inlineStr">
        <is>
          <t>passed</t>
        </is>
      </c>
      <c r="C5" s="4" t="inlineStr">
        <is>
          <t>dq_reason</t>
        </is>
      </c>
      <c r="D5" s="4" t="inlineStr">
        <is>
          <t>shortlist #</t>
        </is>
      </c>
      <c r="E5" s="4" t="inlineStr">
        <is>
          <t>source</t>
        </is>
      </c>
      <c r="F5" s="4" t="inlineStr">
        <is>
          <t>also_on</t>
        </is>
      </c>
      <c r="G5" s="4" t="inlineStr">
        <is>
          <t>year</t>
        </is>
      </c>
      <c r="H5" s="4" t="inlineStr">
        <is>
          <t>trim</t>
        </is>
      </c>
      <c r="I5" s="4" t="inlineStr">
        <is>
          <t>miles</t>
        </is>
      </c>
      <c r="J5" s="4" t="inlineStr">
        <is>
          <t>price</t>
        </is>
      </c>
      <c r="K5" s="4" t="inlineStr">
        <is>
          <t>dealer</t>
        </is>
      </c>
      <c r="L5" s="4" t="inlineStr">
        <is>
          <t>city</t>
        </is>
      </c>
      <c r="M5" s="4" t="inlineStr">
        <is>
          <t>state</t>
        </is>
      </c>
      <c r="N5" s="4" t="inlineStr">
        <is>
          <t>VIN</t>
        </is>
      </c>
      <c r="O5" s="4" t="inlineStr">
        <is>
          <t>deal_rating</t>
        </is>
      </c>
      <c r="P5" s="4" t="inlineStr">
        <is>
          <t>below_market_$</t>
        </is>
      </c>
      <c r="Q5" s="4" t="inlineStr">
        <is>
          <t>kbb_fpp_delta_$</t>
        </is>
      </c>
      <c r="R5" s="4" t="inlineStr">
        <is>
          <t>days_on_market</t>
        </is>
      </c>
      <c r="S5" s="4" t="inlineStr">
        <is>
          <t>one_owner</t>
        </is>
      </c>
      <c r="T5" s="4" t="inlineStr">
        <is>
          <t>accidents</t>
        </is>
      </c>
      <c r="U5" s="4" t="inlineStr">
        <is>
          <t>cpo</t>
        </is>
      </c>
      <c r="V5" s="4" t="inlineStr">
        <is>
          <t>photo_count</t>
        </is>
      </c>
      <c r="W5" s="4" t="inlineStr">
        <is>
          <t>price_drops</t>
        </is>
      </c>
      <c r="X5" s="4" t="inlineStr">
        <is>
          <t>history_unverified</t>
        </is>
      </c>
      <c r="Y5" s="4" t="inlineStr">
        <is>
          <t>notes</t>
        </is>
      </c>
      <c r="Z5" s="4" t="inlineStr">
        <is>
          <t>url</t>
        </is>
      </c>
    </row>
    <row r="6">
      <c r="B6" s="14" t="b">
        <v>1</v>
      </c>
      <c r="C6" s="14" t="inlineStr"/>
      <c r="D6" s="21" t="n">
        <v>1</v>
      </c>
      <c r="E6" s="14" t="inlineStr">
        <is>
          <t>CarGurus</t>
        </is>
      </c>
      <c r="F6" s="14" t="inlineStr">
        <is>
          <t>KBB</t>
        </is>
      </c>
      <c r="G6" s="28" t="n">
        <v>2023</v>
      </c>
      <c r="H6" s="14" t="inlineStr">
        <is>
          <t>2.5 Turbo AWD</t>
        </is>
      </c>
      <c r="I6" s="30" t="n">
        <v>27990</v>
      </c>
      <c r="J6" s="22" t="n">
        <v>28199</v>
      </c>
      <c r="K6" s="14" t="inlineStr">
        <is>
          <t>Puyallup Mazda</t>
        </is>
      </c>
      <c r="L6" s="14" t="inlineStr">
        <is>
          <t>Puyallup</t>
        </is>
      </c>
      <c r="M6" s="14" t="inlineStr">
        <is>
          <t>WA</t>
        </is>
      </c>
      <c r="N6" s="14" t="inlineStr">
        <is>
          <t>JM3KFBAY3P0289626</t>
        </is>
      </c>
      <c r="O6" s="14" t="inlineStr">
        <is>
          <t>Great Deal</t>
        </is>
      </c>
      <c r="P6" s="22" t="n">
        <v>1948</v>
      </c>
      <c r="Q6" s="22" t="n">
        <v>2781</v>
      </c>
      <c r="R6" s="30" t="n">
        <v>84</v>
      </c>
      <c r="S6" s="14" t="b">
        <v>1</v>
      </c>
      <c r="T6" s="14" t="n">
        <v>0</v>
      </c>
      <c r="U6" s="14" t="b">
        <v>0</v>
      </c>
      <c r="V6" s="30" t="n">
        <v>33</v>
      </c>
      <c r="W6" s="30" t="n"/>
      <c r="X6" s="14" t="n"/>
      <c r="Y6" s="14" t="inlineStr"/>
      <c r="Z6" s="38" t="inlineStr">
        <is>
          <t>open</t>
        </is>
      </c>
    </row>
    <row r="7">
      <c r="B7" s="14" t="b">
        <v>1</v>
      </c>
      <c r="C7" s="14" t="inlineStr"/>
      <c r="D7" s="21" t="n">
        <v>4</v>
      </c>
      <c r="E7" s="14" t="inlineStr">
        <is>
          <t>KBB</t>
        </is>
      </c>
      <c r="F7" s="14" t="inlineStr">
        <is>
          <t>Cars.com, iSeeCars</t>
        </is>
      </c>
      <c r="G7" s="28" t="n">
        <v>2021</v>
      </c>
      <c r="H7" s="14" t="inlineStr">
        <is>
          <t>Carbon Edition</t>
        </is>
      </c>
      <c r="I7" s="30" t="n">
        <v>34800</v>
      </c>
      <c r="J7" s="22" t="n">
        <v>26512</v>
      </c>
      <c r="K7" s="14" t="inlineStr">
        <is>
          <t>Ron Tonkin Honda</t>
        </is>
      </c>
      <c r="L7" s="14" t="inlineStr">
        <is>
          <t>Portland</t>
        </is>
      </c>
      <c r="M7" s="14" t="inlineStr">
        <is>
          <t>OR</t>
        </is>
      </c>
      <c r="N7" s="14" t="inlineStr">
        <is>
          <t>JM3KFBCYXM0385696</t>
        </is>
      </c>
      <c r="O7" s="14" t="inlineStr">
        <is>
          <t>Great</t>
        </is>
      </c>
      <c r="P7" s="22" t="n"/>
      <c r="Q7" s="22" t="n">
        <v>2612</v>
      </c>
      <c r="R7" s="30" t="n">
        <v>59</v>
      </c>
      <c r="S7" s="14" t="b">
        <v>1</v>
      </c>
      <c r="T7" s="14" t="n">
        <v>0</v>
      </c>
      <c r="U7" s="14" t="b">
        <v>0</v>
      </c>
      <c r="V7" s="30" t="n"/>
      <c r="W7" s="30" t="n">
        <v>3</v>
      </c>
      <c r="X7" s="14" t="n"/>
      <c r="Y7" s="14" t="inlineStr"/>
      <c r="Z7" s="38" t="inlineStr">
        <is>
          <t>open</t>
        </is>
      </c>
    </row>
    <row r="8">
      <c r="B8" s="14" t="b">
        <v>1</v>
      </c>
      <c r="C8" s="14" t="inlineStr"/>
      <c r="D8" s="21" t="n">
        <v>3</v>
      </c>
      <c r="E8" s="14" t="inlineStr">
        <is>
          <t>KBB</t>
        </is>
      </c>
      <c r="F8" s="14" t="inlineStr">
        <is>
          <t>Cars.com, iSeeCars</t>
        </is>
      </c>
      <c r="G8" s="28" t="n">
        <v>2021</v>
      </c>
      <c r="H8" s="14" t="inlineStr">
        <is>
          <t>Grand Touring Reserve</t>
        </is>
      </c>
      <c r="I8" s="30" t="n">
        <v>39146</v>
      </c>
      <c r="J8" s="22" t="n">
        <v>24999</v>
      </c>
      <c r="K8" s="14" t="inlineStr">
        <is>
          <t>BMW Seattle</t>
        </is>
      </c>
      <c r="L8" s="14" t="inlineStr">
        <is>
          <t>Seattle</t>
        </is>
      </c>
      <c r="M8" s="14" t="inlineStr">
        <is>
          <t>WA</t>
        </is>
      </c>
      <c r="N8" s="14" t="inlineStr">
        <is>
          <t>JM3KFBAY5M0463157</t>
        </is>
      </c>
      <c r="O8" s="14" t="inlineStr">
        <is>
          <t>Great</t>
        </is>
      </c>
      <c r="P8" s="22" t="n"/>
      <c r="Q8" s="22" t="n">
        <v>2771</v>
      </c>
      <c r="R8" s="30" t="n">
        <v>6</v>
      </c>
      <c r="S8" s="14" t="b">
        <v>0</v>
      </c>
      <c r="T8" s="14" t="n">
        <v>0</v>
      </c>
      <c r="U8" s="14" t="b">
        <v>0</v>
      </c>
      <c r="V8" s="30" t="n"/>
      <c r="W8" s="30" t="n"/>
      <c r="X8" s="14" t="n"/>
      <c r="Y8" s="14" t="inlineStr"/>
      <c r="Z8" s="38" t="inlineStr">
        <is>
          <t>open</t>
        </is>
      </c>
    </row>
    <row r="9">
      <c r="B9" s="14" t="b">
        <v>1</v>
      </c>
      <c r="C9" s="14" t="inlineStr"/>
      <c r="D9" s="21" t="n">
        <v>2</v>
      </c>
      <c r="E9" s="14" t="inlineStr">
        <is>
          <t>CarGurus</t>
        </is>
      </c>
      <c r="F9" s="14" t="inlineStr">
        <is>
          <t>KBB</t>
        </is>
      </c>
      <c r="G9" s="28" t="n">
        <v>2022</v>
      </c>
      <c r="H9" s="14" t="inlineStr">
        <is>
          <t>2.5 Turbo AWD</t>
        </is>
      </c>
      <c r="I9" s="30" t="n">
        <v>25353</v>
      </c>
      <c r="J9" s="22" t="n">
        <v>27300</v>
      </c>
      <c r="K9" s="14" t="inlineStr">
        <is>
          <t>Acura of Seattle</t>
        </is>
      </c>
      <c r="L9" s="14" t="inlineStr">
        <is>
          <t>Seattle</t>
        </is>
      </c>
      <c r="M9" s="14" t="inlineStr">
        <is>
          <t>WA</t>
        </is>
      </c>
      <c r="N9" s="14" t="inlineStr">
        <is>
          <t>JM3KFBAY6N0592364</t>
        </is>
      </c>
      <c r="O9" s="14" t="inlineStr">
        <is>
          <t>Great Deal</t>
        </is>
      </c>
      <c r="P9" s="22" t="n">
        <v>2193</v>
      </c>
      <c r="Q9" s="22" t="n">
        <v>70</v>
      </c>
      <c r="R9" s="30" t="n">
        <v>44</v>
      </c>
      <c r="S9" s="14" t="b">
        <v>0</v>
      </c>
      <c r="T9" s="14" t="n">
        <v>0</v>
      </c>
      <c r="U9" s="14" t="b">
        <v>0</v>
      </c>
      <c r="V9" s="30" t="n">
        <v>23</v>
      </c>
      <c r="W9" s="30" t="n"/>
      <c r="X9" s="14" t="n"/>
      <c r="Y9" s="14" t="inlineStr"/>
      <c r="Z9" s="38" t="inlineStr">
        <is>
          <t>open</t>
        </is>
      </c>
    </row>
    <row r="10">
      <c r="B10" s="14" t="b">
        <v>1</v>
      </c>
      <c r="C10" s="14" t="inlineStr"/>
      <c r="D10" s="21" t="n">
        <v>10</v>
      </c>
      <c r="E10" s="14" t="inlineStr">
        <is>
          <t>Cars.com</t>
        </is>
      </c>
      <c r="F10" s="14" t="inlineStr">
        <is>
          <t>iSeeCars</t>
        </is>
      </c>
      <c r="G10" s="28" t="n">
        <v>2023</v>
      </c>
      <c r="H10" s="14" t="inlineStr">
        <is>
          <t>2.5 S Preferred Package</t>
        </is>
      </c>
      <c r="I10" s="30" t="n">
        <v>44989</v>
      </c>
      <c r="J10" s="22" t="n">
        <v>24095</v>
      </c>
      <c r="K10" s="14" t="inlineStr">
        <is>
          <t>Columbia Sales &amp; Service</t>
        </is>
      </c>
      <c r="L10" s="14" t="inlineStr">
        <is>
          <t>Portland</t>
        </is>
      </c>
      <c r="M10" s="14" t="inlineStr">
        <is>
          <t>OR</t>
        </is>
      </c>
      <c r="N10" s="14" t="inlineStr">
        <is>
          <t>JM3KFBCM9P0119426</t>
        </is>
      </c>
      <c r="O10" s="14" t="inlineStr">
        <is>
          <t>Great Deal</t>
        </is>
      </c>
      <c r="P10" s="22" t="n"/>
      <c r="Q10" s="22" t="n"/>
      <c r="R10" s="30" t="n"/>
      <c r="S10" s="14" t="n"/>
      <c r="T10" s="14" t="n"/>
      <c r="U10" s="14" t="n"/>
      <c r="V10" s="30" t="n"/>
      <c r="W10" s="30" t="n"/>
      <c r="X10" s="14" t="b">
        <v>1</v>
      </c>
      <c r="Y10" s="14" t="inlineStr"/>
      <c r="Z10" s="38" t="inlineStr">
        <is>
          <t>open</t>
        </is>
      </c>
    </row>
    <row r="11">
      <c r="B11" s="14" t="b">
        <v>1</v>
      </c>
      <c r="C11" s="14" t="inlineStr"/>
      <c r="D11" s="21" t="n">
        <v>5</v>
      </c>
      <c r="E11" s="14" t="inlineStr">
        <is>
          <t>CarGurus</t>
        </is>
      </c>
      <c r="F11" s="14" t="inlineStr">
        <is>
          <t>KBB</t>
        </is>
      </c>
      <c r="G11" s="28" t="n">
        <v>2021</v>
      </c>
      <c r="H11" s="14" t="inlineStr">
        <is>
          <t>Grand Touring AWD</t>
        </is>
      </c>
      <c r="I11" s="30" t="n">
        <v>33175</v>
      </c>
      <c r="J11" s="22" t="n">
        <v>25192</v>
      </c>
      <c r="K11" s="14" t="inlineStr">
        <is>
          <t>Hyundai of Kirkland</t>
        </is>
      </c>
      <c r="L11" s="14" t="inlineStr">
        <is>
          <t>Kirkland</t>
        </is>
      </c>
      <c r="M11" s="14" t="inlineStr">
        <is>
          <t>WA</t>
        </is>
      </c>
      <c r="N11" s="14" t="inlineStr">
        <is>
          <t>JM3KFBDM3M0301052</t>
        </is>
      </c>
      <c r="O11" s="14" t="inlineStr">
        <is>
          <t>Good Deal</t>
        </is>
      </c>
      <c r="P11" s="22" t="n">
        <v>980</v>
      </c>
      <c r="Q11" s="22" t="n">
        <v>3048</v>
      </c>
      <c r="R11" s="30" t="n">
        <v>43</v>
      </c>
      <c r="S11" s="14" t="b">
        <v>1</v>
      </c>
      <c r="T11" s="14" t="n">
        <v>0</v>
      </c>
      <c r="U11" s="14" t="b">
        <v>0</v>
      </c>
      <c r="V11" s="30" t="n">
        <v>23</v>
      </c>
      <c r="W11" s="30" t="n">
        <v>3</v>
      </c>
      <c r="X11" s="14" t="n"/>
      <c r="Y11" s="14" t="inlineStr"/>
      <c r="Z11" s="38" t="inlineStr">
        <is>
          <t>open</t>
        </is>
      </c>
    </row>
    <row r="12">
      <c r="B12" s="14" t="b">
        <v>1</v>
      </c>
      <c r="C12" s="14" t="inlineStr"/>
      <c r="D12" s="21" t="n">
        <v>6</v>
      </c>
      <c r="E12" s="14" t="inlineStr">
        <is>
          <t>CarGurus</t>
        </is>
      </c>
      <c r="F12" s="14" t="inlineStr">
        <is>
          <t>KBB</t>
        </is>
      </c>
      <c r="G12" s="28" t="n">
        <v>2021</v>
      </c>
      <c r="H12" s="14" t="inlineStr">
        <is>
          <t>Carbon Edition Turbo AWD</t>
        </is>
      </c>
      <c r="I12" s="30" t="n">
        <v>42515</v>
      </c>
      <c r="J12" s="22" t="n">
        <v>25198</v>
      </c>
      <c r="K12" s="14" t="inlineStr">
        <is>
          <t>Puyallup Mazda</t>
        </is>
      </c>
      <c r="L12" s="14" t="inlineStr">
        <is>
          <t>Puyallup</t>
        </is>
      </c>
      <c r="M12" s="14" t="inlineStr">
        <is>
          <t>WA</t>
        </is>
      </c>
      <c r="N12" s="14" t="inlineStr">
        <is>
          <t>JM3KFBDYXM0120596</t>
        </is>
      </c>
      <c r="O12" s="14" t="inlineStr">
        <is>
          <t>Good Deal</t>
        </is>
      </c>
      <c r="P12" s="22" t="n">
        <v>1720</v>
      </c>
      <c r="Q12" s="22" t="n"/>
      <c r="R12" s="30" t="n">
        <v>64</v>
      </c>
      <c r="S12" s="14" t="b">
        <v>0</v>
      </c>
      <c r="T12" s="14" t="n">
        <v>0</v>
      </c>
      <c r="U12" s="14" t="b">
        <v>0</v>
      </c>
      <c r="V12" s="30" t="n">
        <v>33</v>
      </c>
      <c r="W12" s="30" t="n">
        <v>3</v>
      </c>
      <c r="X12" s="14" t="n"/>
      <c r="Y12" s="14" t="inlineStr">
        <is>
          <t>kbb_fpp_delta raw value -25198 is an artifact of a null KBB FPP — ignored</t>
        </is>
      </c>
      <c r="Z12" s="38" t="inlineStr">
        <is>
          <t>open</t>
        </is>
      </c>
    </row>
    <row r="13">
      <c r="B13" s="14" t="b">
        <v>1</v>
      </c>
      <c r="C13" s="14" t="inlineStr"/>
      <c r="D13" s="21" t="n">
        <v>7</v>
      </c>
      <c r="E13" s="14" t="inlineStr">
        <is>
          <t>CarGurus</t>
        </is>
      </c>
      <c r="F13" s="14" t="inlineStr">
        <is>
          <t>KBB, iSeeCars</t>
        </is>
      </c>
      <c r="G13" s="28" t="n">
        <v>2022</v>
      </c>
      <c r="H13" s="14" t="inlineStr">
        <is>
          <t>2.5 S Carbon Edition AWD</t>
        </is>
      </c>
      <c r="I13" s="30" t="n">
        <v>34749</v>
      </c>
      <c r="J13" s="22" t="n">
        <v>26972</v>
      </c>
      <c r="K13" s="14" t="inlineStr">
        <is>
          <t>Lee Johnson Mazda of Seattle</t>
        </is>
      </c>
      <c r="L13" s="14" t="inlineStr">
        <is>
          <t>Seattle</t>
        </is>
      </c>
      <c r="M13" s="14" t="inlineStr">
        <is>
          <t>WA</t>
        </is>
      </c>
      <c r="N13" s="14" t="inlineStr">
        <is>
          <t>JM3KFBCM4N0546820</t>
        </is>
      </c>
      <c r="O13" s="14" t="inlineStr">
        <is>
          <t>Good Deal</t>
        </is>
      </c>
      <c r="P13" s="22" t="n">
        <v>978</v>
      </c>
      <c r="Q13" s="22" t="n">
        <v>-212</v>
      </c>
      <c r="R13" s="30" t="n">
        <v>25</v>
      </c>
      <c r="S13" s="14" t="b">
        <v>1</v>
      </c>
      <c r="T13" s="14" t="n">
        <v>0</v>
      </c>
      <c r="U13" s="14" t="b">
        <v>1</v>
      </c>
      <c r="V13" s="30" t="n">
        <v>33</v>
      </c>
      <c r="W13" s="30" t="n"/>
      <c r="X13" s="14" t="n"/>
      <c r="Y13" s="14" t="inlineStr"/>
      <c r="Z13" s="38" t="inlineStr">
        <is>
          <t>open</t>
        </is>
      </c>
    </row>
    <row r="14">
      <c r="B14" s="14" t="b">
        <v>1</v>
      </c>
      <c r="C14" s="14" t="inlineStr"/>
      <c r="D14" s="21" t="n">
        <v>8</v>
      </c>
      <c r="E14" s="14" t="inlineStr">
        <is>
          <t>CarGurus</t>
        </is>
      </c>
      <c r="F14" s="14" t="inlineStr"/>
      <c r="G14" s="28" t="n">
        <v>2023</v>
      </c>
      <c r="H14" s="14" t="inlineStr">
        <is>
          <t>2.5 S Preferred AWD</t>
        </is>
      </c>
      <c r="I14" s="30" t="n">
        <v>16612</v>
      </c>
      <c r="J14" s="22" t="n">
        <v>26900</v>
      </c>
      <c r="K14" s="14" t="inlineStr">
        <is>
          <t>Royal Moore Mazda Buick GMC</t>
        </is>
      </c>
      <c r="L14" s="14" t="inlineStr">
        <is>
          <t>Hillsboro</t>
        </is>
      </c>
      <c r="M14" s="14" t="inlineStr">
        <is>
          <t>OR</t>
        </is>
      </c>
      <c r="N14" s="14" t="inlineStr">
        <is>
          <t>JM3KFBCM6P0274841</t>
        </is>
      </c>
      <c r="O14" s="14" t="inlineStr">
        <is>
          <t>Good Deal</t>
        </is>
      </c>
      <c r="P14" s="22" t="n">
        <v>808</v>
      </c>
      <c r="Q14" s="22" t="n"/>
      <c r="R14" s="30" t="n">
        <v>10</v>
      </c>
      <c r="S14" s="14" t="b">
        <v>1</v>
      </c>
      <c r="T14" s="14" t="n">
        <v>0</v>
      </c>
      <c r="U14" s="14" t="b">
        <v>0</v>
      </c>
      <c r="V14" s="30" t="n">
        <v>35</v>
      </c>
      <c r="W14" s="30" t="n"/>
      <c r="X14" s="14" t="n"/>
      <c r="Y14" s="14" t="inlineStr"/>
      <c r="Z14" s="38" t="inlineStr">
        <is>
          <t>open</t>
        </is>
      </c>
    </row>
    <row r="15">
      <c r="B15" s="14" t="b">
        <v>1</v>
      </c>
      <c r="C15" s="14" t="inlineStr"/>
      <c r="D15" s="21" t="n"/>
      <c r="E15" s="14" t="inlineStr">
        <is>
          <t>CarGurus</t>
        </is>
      </c>
      <c r="F15" s="14" t="inlineStr">
        <is>
          <t>KBB</t>
        </is>
      </c>
      <c r="G15" s="28" t="n">
        <v>2023</v>
      </c>
      <c r="H15" s="14" t="inlineStr">
        <is>
          <t>2.5 S Premium Plus AWD</t>
        </is>
      </c>
      <c r="I15" s="30" t="n">
        <v>23202</v>
      </c>
      <c r="J15" s="22" t="n">
        <v>28915</v>
      </c>
      <c r="K15" s="14" t="inlineStr">
        <is>
          <t>Chuck Colvin Auto Group</t>
        </is>
      </c>
      <c r="L15" s="14" t="inlineStr">
        <is>
          <t>Mcminnville</t>
        </is>
      </c>
      <c r="M15" s="14" t="inlineStr">
        <is>
          <t>OR</t>
        </is>
      </c>
      <c r="N15" s="14" t="inlineStr">
        <is>
          <t>JM3KFBEM0P0175347</t>
        </is>
      </c>
      <c r="O15" s="14" t="inlineStr">
        <is>
          <t>Good Deal</t>
        </is>
      </c>
      <c r="P15" s="22" t="n">
        <v>336</v>
      </c>
      <c r="Q15" s="22" t="n">
        <v>826</v>
      </c>
      <c r="R15" s="30" t="n">
        <v>38</v>
      </c>
      <c r="S15" s="14" t="b">
        <v>1</v>
      </c>
      <c r="T15" s="14" t="n">
        <v>0</v>
      </c>
      <c r="U15" s="14" t="b">
        <v>0</v>
      </c>
      <c r="V15" s="30" t="n">
        <v>28</v>
      </c>
      <c r="W15" s="30" t="n"/>
      <c r="X15" s="14" t="n"/>
      <c r="Y15" s="14" t="inlineStr"/>
      <c r="Z15" s="38" t="inlineStr">
        <is>
          <t>open</t>
        </is>
      </c>
    </row>
    <row r="16">
      <c r="B16" s="14" t="b">
        <v>1</v>
      </c>
      <c r="C16" s="14" t="inlineStr"/>
      <c r="D16" s="21" t="n">
        <v>9</v>
      </c>
      <c r="E16" s="14" t="inlineStr">
        <is>
          <t>CarGurus</t>
        </is>
      </c>
      <c r="F16" s="14" t="inlineStr">
        <is>
          <t>KBB</t>
        </is>
      </c>
      <c r="G16" s="28" t="n">
        <v>2023</v>
      </c>
      <c r="H16" s="14" t="inlineStr">
        <is>
          <t>2.5 S Carbon Edition AWD</t>
        </is>
      </c>
      <c r="I16" s="30" t="n">
        <v>33006</v>
      </c>
      <c r="J16" s="22" t="n">
        <v>27699</v>
      </c>
      <c r="K16" s="14" t="inlineStr">
        <is>
          <t>Puyallup Mazda</t>
        </is>
      </c>
      <c r="L16" s="14" t="inlineStr">
        <is>
          <t>Puyallup</t>
        </is>
      </c>
      <c r="M16" s="14" t="inlineStr">
        <is>
          <t>WA</t>
        </is>
      </c>
      <c r="N16" s="14" t="inlineStr">
        <is>
          <t>JM3KFBCMXP0288130</t>
        </is>
      </c>
      <c r="O16" s="14" t="inlineStr">
        <is>
          <t>Good Deal</t>
        </is>
      </c>
      <c r="P16" s="22" t="n">
        <v>521</v>
      </c>
      <c r="Q16" s="22" t="n">
        <v>391</v>
      </c>
      <c r="R16" s="30" t="n">
        <v>53</v>
      </c>
      <c r="S16" s="14" t="b">
        <v>1</v>
      </c>
      <c r="T16" s="14" t="n">
        <v>0</v>
      </c>
      <c r="U16" s="14" t="b">
        <v>1</v>
      </c>
      <c r="V16" s="30" t="n">
        <v>33</v>
      </c>
      <c r="W16" s="30" t="n"/>
      <c r="X16" s="14" t="n"/>
      <c r="Y16" s="14" t="inlineStr"/>
      <c r="Z16" s="38" t="inlineStr">
        <is>
          <t>open</t>
        </is>
      </c>
    </row>
    <row r="17">
      <c r="B17" s="14" t="b">
        <v>1</v>
      </c>
      <c r="C17" s="14" t="inlineStr"/>
      <c r="D17" s="21" t="n"/>
      <c r="E17" s="14" t="inlineStr">
        <is>
          <t>CarGurus</t>
        </is>
      </c>
      <c r="F17" s="14" t="inlineStr"/>
      <c r="G17" s="28" t="n">
        <v>2023</v>
      </c>
      <c r="H17" s="14" t="inlineStr">
        <is>
          <t>2.5 Turbo AWD</t>
        </is>
      </c>
      <c r="I17" s="30" t="n">
        <v>23970</v>
      </c>
      <c r="J17" s="22" t="n">
        <v>28998</v>
      </c>
      <c r="K17" s="14" t="inlineStr">
        <is>
          <t>CarMax Salem</t>
        </is>
      </c>
      <c r="L17" s="14" t="inlineStr">
        <is>
          <t>Salem</t>
        </is>
      </c>
      <c r="M17" s="14" t="inlineStr">
        <is>
          <t>OR</t>
        </is>
      </c>
      <c r="N17" s="14" t="inlineStr">
        <is>
          <t>JM3KFBAYXP0132630</t>
        </is>
      </c>
      <c r="O17" s="14" t="inlineStr">
        <is>
          <t>Good Deal</t>
        </is>
      </c>
      <c r="P17" s="22" t="n">
        <v>1003</v>
      </c>
      <c r="Q17" s="22" t="n"/>
      <c r="R17" s="30" t="n">
        <v>24</v>
      </c>
      <c r="S17" s="14" t="b">
        <v>0</v>
      </c>
      <c r="T17" s="14" t="n">
        <v>0</v>
      </c>
      <c r="U17" s="14" t="b">
        <v>0</v>
      </c>
      <c r="V17" s="30" t="n">
        <v>28</v>
      </c>
      <c r="W17" s="30" t="n"/>
      <c r="X17" s="14" t="n"/>
      <c r="Y17" s="14" t="inlineStr"/>
      <c r="Z17" s="38" t="inlineStr">
        <is>
          <t>open</t>
        </is>
      </c>
    </row>
    <row r="18">
      <c r="B18" s="14" t="b">
        <v>1</v>
      </c>
      <c r="C18" s="14" t="inlineStr"/>
      <c r="D18" s="21" t="n"/>
      <c r="E18" s="14" t="inlineStr">
        <is>
          <t>CarGurus</t>
        </is>
      </c>
      <c r="F18" s="14" t="inlineStr">
        <is>
          <t>KBB</t>
        </is>
      </c>
      <c r="G18" s="28" t="n">
        <v>2023</v>
      </c>
      <c r="H18" s="14" t="inlineStr">
        <is>
          <t>2.5 S Premium AWD</t>
        </is>
      </c>
      <c r="I18" s="30" t="n">
        <v>27837</v>
      </c>
      <c r="J18" s="22" t="n">
        <v>27545</v>
      </c>
      <c r="K18" s="14" t="inlineStr">
        <is>
          <t>Ron Tonkin Chrysler Jeep Dodge Ram Fiat</t>
        </is>
      </c>
      <c r="L18" s="14" t="inlineStr">
        <is>
          <t>Milwaukie</t>
        </is>
      </c>
      <c r="M18" s="14" t="inlineStr">
        <is>
          <t>OR</t>
        </is>
      </c>
      <c r="N18" s="14" t="inlineStr">
        <is>
          <t>JM3KFBDM6P0128857</t>
        </is>
      </c>
      <c r="O18" s="14" t="inlineStr">
        <is>
          <t>Good Deal</t>
        </is>
      </c>
      <c r="P18" s="22" t="n">
        <v>594</v>
      </c>
      <c r="Q18" s="22" t="n">
        <v>-339</v>
      </c>
      <c r="R18" s="30" t="n">
        <v>47</v>
      </c>
      <c r="S18" s="14" t="b">
        <v>1</v>
      </c>
      <c r="T18" s="14" t="n">
        <v>0</v>
      </c>
      <c r="U18" s="14" t="b">
        <v>0</v>
      </c>
      <c r="V18" s="30" t="n">
        <v>29</v>
      </c>
      <c r="W18" s="30" t="n"/>
      <c r="X18" s="14" t="n"/>
      <c r="Y18" s="14" t="inlineStr"/>
      <c r="Z18" s="38" t="inlineStr">
        <is>
          <t>open</t>
        </is>
      </c>
    </row>
    <row r="19">
      <c r="B19" s="14" t="b">
        <v>1</v>
      </c>
      <c r="C19" s="14" t="inlineStr"/>
      <c r="D19" s="21" t="n"/>
      <c r="E19" s="14" t="inlineStr">
        <is>
          <t>KBB</t>
        </is>
      </c>
      <c r="F19" s="14" t="inlineStr">
        <is>
          <t>Cars.com</t>
        </is>
      </c>
      <c r="G19" s="28" t="n">
        <v>2021</v>
      </c>
      <c r="H19" s="14" t="inlineStr">
        <is>
          <t>Carbon Edition</t>
        </is>
      </c>
      <c r="I19" s="30" t="n">
        <v>39412</v>
      </c>
      <c r="J19" s="22" t="n">
        <v>27472</v>
      </c>
      <c r="K19" s="14" t="inlineStr">
        <is>
          <t>Tonkin Gresham Honda</t>
        </is>
      </c>
      <c r="L19" s="14" t="inlineStr">
        <is>
          <t>Troutdale</t>
        </is>
      </c>
      <c r="M19" s="14" t="inlineStr">
        <is>
          <t>OR</t>
        </is>
      </c>
      <c r="N19" s="14" t="inlineStr">
        <is>
          <t>JM3KFBCYXM0499388</t>
        </is>
      </c>
      <c r="O19" s="14" t="inlineStr">
        <is>
          <t>Good Deal</t>
        </is>
      </c>
      <c r="P19" s="22" t="n"/>
      <c r="Q19" s="22" t="n">
        <v>748</v>
      </c>
      <c r="R19" s="30" t="n">
        <v>28</v>
      </c>
      <c r="S19" s="14" t="b">
        <v>0</v>
      </c>
      <c r="T19" s="14" t="n">
        <v>0</v>
      </c>
      <c r="U19" s="14" t="b">
        <v>0</v>
      </c>
      <c r="V19" s="30" t="n"/>
      <c r="W19" s="30" t="n"/>
      <c r="X19" s="14" t="n"/>
      <c r="Y19" s="14" t="inlineStr"/>
      <c r="Z19" s="38" t="inlineStr">
        <is>
          <t>open</t>
        </is>
      </c>
    </row>
    <row r="20">
      <c r="B20" s="14" t="b">
        <v>1</v>
      </c>
      <c r="C20" s="14" t="inlineStr"/>
      <c r="D20" s="21" t="n"/>
      <c r="E20" s="14" t="inlineStr">
        <is>
          <t>CarGurus</t>
        </is>
      </c>
      <c r="F20" s="14" t="inlineStr">
        <is>
          <t>iSeeCars</t>
        </is>
      </c>
      <c r="G20" s="28" t="n">
        <v>2023</v>
      </c>
      <c r="H20" s="14" t="inlineStr">
        <is>
          <t>2.5 S Preferred AWD</t>
        </is>
      </c>
      <c r="I20" s="30" t="n">
        <v>33261</v>
      </c>
      <c r="J20" s="22" t="n">
        <v>25895</v>
      </c>
      <c r="K20" s="14" t="inlineStr">
        <is>
          <t>GoldBoyz Auto Sales</t>
        </is>
      </c>
      <c r="L20" s="14" t="inlineStr">
        <is>
          <t>Puyallup</t>
        </is>
      </c>
      <c r="M20" s="14" t="inlineStr">
        <is>
          <t>WA</t>
        </is>
      </c>
      <c r="N20" s="14" t="inlineStr">
        <is>
          <t>JM3KFBCM5P0285460</t>
        </is>
      </c>
      <c r="O20" s="14" t="inlineStr">
        <is>
          <t>Good Deal</t>
        </is>
      </c>
      <c r="P20" s="22" t="n">
        <v>536</v>
      </c>
      <c r="Q20" s="22" t="n"/>
      <c r="R20" s="30" t="n">
        <v>66</v>
      </c>
      <c r="S20" s="14" t="b">
        <v>0</v>
      </c>
      <c r="T20" s="14" t="n">
        <v>0</v>
      </c>
      <c r="U20" s="14" t="b">
        <v>0</v>
      </c>
      <c r="V20" s="30" t="n">
        <v>34</v>
      </c>
      <c r="W20" s="30" t="n"/>
      <c r="X20" s="14" t="n"/>
      <c r="Y20" s="14" t="inlineStr"/>
      <c r="Z20" s="38" t="inlineStr">
        <is>
          <t>open</t>
        </is>
      </c>
    </row>
    <row r="21">
      <c r="B21" s="14" t="b">
        <v>1</v>
      </c>
      <c r="C21" s="14" t="inlineStr"/>
      <c r="D21" s="21" t="n"/>
      <c r="E21" s="14" t="inlineStr">
        <is>
          <t>KBB</t>
        </is>
      </c>
      <c r="F21" s="14" t="inlineStr">
        <is>
          <t>Cars.com</t>
        </is>
      </c>
      <c r="G21" s="28" t="n">
        <v>2023</v>
      </c>
      <c r="H21" s="14" t="inlineStr">
        <is>
          <t>Carbon Edition</t>
        </is>
      </c>
      <c r="I21" s="30" t="n">
        <v>26409</v>
      </c>
      <c r="J21" s="22" t="n">
        <v>28400</v>
      </c>
      <c r="K21" s="14" t="inlineStr">
        <is>
          <t>Toyota of Newport</t>
        </is>
      </c>
      <c r="L21" s="14" t="inlineStr">
        <is>
          <t>Newport</t>
        </is>
      </c>
      <c r="M21" s="14" t="inlineStr">
        <is>
          <t>OR</t>
        </is>
      </c>
      <c r="N21" s="14" t="inlineStr">
        <is>
          <t>JM3KFBCM5P0156988</t>
        </is>
      </c>
      <c r="O21" s="14" t="inlineStr">
        <is>
          <t>Good Deal</t>
        </is>
      </c>
      <c r="P21" s="22" t="n"/>
      <c r="Q21" s="22" t="n">
        <v>-680</v>
      </c>
      <c r="R21" s="30" t="n">
        <v>56</v>
      </c>
      <c r="S21" s="14" t="b">
        <v>1</v>
      </c>
      <c r="T21" s="14" t="n">
        <v>0</v>
      </c>
      <c r="U21" s="14" t="b">
        <v>0</v>
      </c>
      <c r="V21" s="30" t="n"/>
      <c r="W21" s="30" t="n"/>
      <c r="X21" s="14" t="n"/>
      <c r="Y21" s="14" t="inlineStr"/>
      <c r="Z21" s="38" t="inlineStr">
        <is>
          <t>open</t>
        </is>
      </c>
    </row>
    <row r="22">
      <c r="B22" s="14" t="b">
        <v>1</v>
      </c>
      <c r="C22" s="14" t="inlineStr"/>
      <c r="D22" s="21" t="n"/>
      <c r="E22" s="14" t="inlineStr">
        <is>
          <t>KBB</t>
        </is>
      </c>
      <c r="F22" s="14" t="inlineStr">
        <is>
          <t>Cars.com</t>
        </is>
      </c>
      <c r="G22" s="28" t="n">
        <v>2022</v>
      </c>
      <c r="H22" s="14" t="inlineStr">
        <is>
          <t>AWD 2.5 S w/ Premium Plus Pkg</t>
        </is>
      </c>
      <c r="I22" s="30" t="n">
        <v>43640</v>
      </c>
      <c r="J22" s="22" t="n">
        <v>27389</v>
      </c>
      <c r="K22" s="14" t="inlineStr">
        <is>
          <t>Titus-Will Chevrolet GMC Cadillac - Olympia Auto Mall</t>
        </is>
      </c>
      <c r="L22" s="14" t="inlineStr">
        <is>
          <t>Olympia</t>
        </is>
      </c>
      <c r="M22" s="14" t="inlineStr">
        <is>
          <t>WA</t>
        </is>
      </c>
      <c r="N22" s="14" t="inlineStr">
        <is>
          <t>JM3KFBEM1N0590576</t>
        </is>
      </c>
      <c r="O22" s="14" t="inlineStr">
        <is>
          <t>Good Deal</t>
        </is>
      </c>
      <c r="P22" s="22" t="n"/>
      <c r="Q22" s="22" t="n">
        <v>-389</v>
      </c>
      <c r="R22" s="30" t="n">
        <v>41</v>
      </c>
      <c r="S22" s="14" t="b">
        <v>1</v>
      </c>
      <c r="T22" s="14" t="n">
        <v>0</v>
      </c>
      <c r="U22" s="14" t="b">
        <v>0</v>
      </c>
      <c r="V22" s="30" t="n"/>
      <c r="W22" s="30" t="n"/>
      <c r="X22" s="14" t="n"/>
      <c r="Y22" s="14" t="inlineStr"/>
      <c r="Z22" s="38" t="inlineStr">
        <is>
          <t>open</t>
        </is>
      </c>
    </row>
    <row r="23">
      <c r="B23" s="14" t="b">
        <v>1</v>
      </c>
      <c r="C23" s="14" t="inlineStr"/>
      <c r="D23" s="21" t="n"/>
      <c r="E23" s="14" t="inlineStr">
        <is>
          <t>CarGurus</t>
        </is>
      </c>
      <c r="F23" s="14" t="inlineStr">
        <is>
          <t>KBB, Craigslist</t>
        </is>
      </c>
      <c r="G23" s="28" t="n">
        <v>2023</v>
      </c>
      <c r="H23" s="14" t="inlineStr">
        <is>
          <t>2.5 S Carbon Edition AWD</t>
        </is>
      </c>
      <c r="I23" s="30" t="n">
        <v>28924</v>
      </c>
      <c r="J23" s="22" t="n">
        <v>27760</v>
      </c>
      <c r="K23" s="14" t="inlineStr">
        <is>
          <t>Titus-Will Used Cars - Olympia</t>
        </is>
      </c>
      <c r="L23" s="14" t="inlineStr">
        <is>
          <t>Olympia</t>
        </is>
      </c>
      <c r="M23" s="14" t="inlineStr">
        <is>
          <t>WA</t>
        </is>
      </c>
      <c r="N23" s="14" t="inlineStr">
        <is>
          <t>JM3KFBCM2P0174560</t>
        </is>
      </c>
      <c r="O23" s="14" t="inlineStr">
        <is>
          <t>Good Deal</t>
        </is>
      </c>
      <c r="P23" s="22" t="n">
        <v>257</v>
      </c>
      <c r="Q23" s="22" t="n">
        <v>-819</v>
      </c>
      <c r="R23" s="30" t="n">
        <v>23</v>
      </c>
      <c r="S23" s="14" t="b">
        <v>0</v>
      </c>
      <c r="T23" s="14" t="n">
        <v>0</v>
      </c>
      <c r="U23" s="14" t="b">
        <v>0</v>
      </c>
      <c r="V23" s="30" t="n">
        <v>45</v>
      </c>
      <c r="W23" s="30" t="n"/>
      <c r="X23" s="14" t="n"/>
      <c r="Y23" s="14" t="inlineStr"/>
      <c r="Z23" s="38" t="inlineStr">
        <is>
          <t>open</t>
        </is>
      </c>
    </row>
    <row r="24">
      <c r="B24" s="14" t="b">
        <v>1</v>
      </c>
      <c r="C24" s="14" t="inlineStr"/>
      <c r="D24" s="21" t="n"/>
      <c r="E24" s="14" t="inlineStr">
        <is>
          <t>Cars.com</t>
        </is>
      </c>
      <c r="F24" s="14" t="inlineStr"/>
      <c r="G24" s="28" t="n">
        <v>2021</v>
      </c>
      <c r="H24" s="14" t="inlineStr">
        <is>
          <t>Touring</t>
        </is>
      </c>
      <c r="I24" s="30" t="n">
        <v>31250</v>
      </c>
      <c r="J24" s="22" t="n">
        <v>27432</v>
      </c>
      <c r="K24" s="14" t="inlineStr">
        <is>
          <t>Kendall Gmc Buick Of Nampa</t>
        </is>
      </c>
      <c r="L24" s="14" t="inlineStr">
        <is>
          <t>Nampa</t>
        </is>
      </c>
      <c r="M24" s="14" t="inlineStr">
        <is>
          <t>ID</t>
        </is>
      </c>
      <c r="N24" s="14" t="inlineStr">
        <is>
          <t>JM3KFACM1M0409049</t>
        </is>
      </c>
      <c r="O24" s="14" t="inlineStr">
        <is>
          <t>Good Deal</t>
        </is>
      </c>
      <c r="P24" s="22" t="n"/>
      <c r="Q24" s="22" t="n"/>
      <c r="R24" s="30" t="n"/>
      <c r="S24" s="14" t="n"/>
      <c r="T24" s="14" t="n"/>
      <c r="U24" s="14" t="n"/>
      <c r="V24" s="30" t="n"/>
      <c r="W24" s="30" t="n"/>
      <c r="X24" s="14" t="b">
        <v>1</v>
      </c>
      <c r="Y24" s="14" t="inlineStr"/>
      <c r="Z24" s="38" t="inlineStr">
        <is>
          <t>open</t>
        </is>
      </c>
    </row>
    <row r="25">
      <c r="B25" s="14" t="b">
        <v>1</v>
      </c>
      <c r="C25" s="14" t="inlineStr"/>
      <c r="D25" s="21" t="n"/>
      <c r="E25" s="14" t="inlineStr">
        <is>
          <t>Cars.com</t>
        </is>
      </c>
      <c r="F25" s="14" t="inlineStr"/>
      <c r="G25" s="28" t="n">
        <v>2023</v>
      </c>
      <c r="H25" s="14" t="inlineStr">
        <is>
          <t>2.5 S Carbon Edition</t>
        </is>
      </c>
      <c r="I25" s="30" t="n">
        <v>32594</v>
      </c>
      <c r="J25" s="22" t="n">
        <v>27599</v>
      </c>
      <c r="K25" s="14" t="inlineStr">
        <is>
          <t>Lexus Of Portland</t>
        </is>
      </c>
      <c r="L25" s="14" t="inlineStr">
        <is>
          <t>Portland</t>
        </is>
      </c>
      <c r="M25" s="14" t="inlineStr">
        <is>
          <t>OR</t>
        </is>
      </c>
      <c r="N25" s="14" t="inlineStr">
        <is>
          <t>JM3KFBCM4P0157436</t>
        </is>
      </c>
      <c r="O25" s="14" t="inlineStr">
        <is>
          <t>Good Deal</t>
        </is>
      </c>
      <c r="P25" s="22" t="n"/>
      <c r="Q25" s="22" t="n"/>
      <c r="R25" s="30" t="n"/>
      <c r="S25" s="14" t="n"/>
      <c r="T25" s="14" t="n"/>
      <c r="U25" s="14" t="n"/>
      <c r="V25" s="30" t="n"/>
      <c r="W25" s="30" t="n"/>
      <c r="X25" s="14" t="b">
        <v>1</v>
      </c>
      <c r="Y25" s="14" t="inlineStr"/>
      <c r="Z25" s="38" t="inlineStr">
        <is>
          <t>open</t>
        </is>
      </c>
    </row>
    <row r="26">
      <c r="B26" s="14" t="b">
        <v>1</v>
      </c>
      <c r="C26" s="14" t="inlineStr"/>
      <c r="D26" s="21" t="n"/>
      <c r="E26" s="14" t="inlineStr">
        <is>
          <t>Cars.com</t>
        </is>
      </c>
      <c r="F26" s="14" t="inlineStr"/>
      <c r="G26" s="28" t="n">
        <v>2022</v>
      </c>
      <c r="H26" s="14" t="inlineStr">
        <is>
          <t>2.5 S Carbon Edition</t>
        </is>
      </c>
      <c r="I26" s="30" t="n">
        <v>37339</v>
      </c>
      <c r="J26" s="22" t="n">
        <v>28245</v>
      </c>
      <c r="K26" s="14" t="inlineStr">
        <is>
          <t>Ron Tonkin Acura</t>
        </is>
      </c>
      <c r="L26" s="14" t="inlineStr">
        <is>
          <t>Portland</t>
        </is>
      </c>
      <c r="M26" s="14" t="inlineStr">
        <is>
          <t>OR</t>
        </is>
      </c>
      <c r="N26" s="14" t="inlineStr">
        <is>
          <t>JM3KFBCM3N0649064</t>
        </is>
      </c>
      <c r="O26" s="14" t="inlineStr">
        <is>
          <t>Good Deal</t>
        </is>
      </c>
      <c r="P26" s="22" t="n"/>
      <c r="Q26" s="22" t="n"/>
      <c r="R26" s="30" t="n"/>
      <c r="S26" s="14" t="n"/>
      <c r="T26" s="14" t="n"/>
      <c r="U26" s="14" t="n"/>
      <c r="V26" s="30" t="n"/>
      <c r="W26" s="30" t="n"/>
      <c r="X26" s="14" t="b">
        <v>1</v>
      </c>
      <c r="Y26" s="14" t="inlineStr"/>
      <c r="Z26" s="38" t="inlineStr">
        <is>
          <t>open</t>
        </is>
      </c>
    </row>
    <row r="27">
      <c r="B27" s="14" t="b">
        <v>1</v>
      </c>
      <c r="C27" s="14" t="inlineStr"/>
      <c r="D27" s="21" t="n"/>
      <c r="E27" s="14" t="inlineStr">
        <is>
          <t>KBB</t>
        </is>
      </c>
      <c r="F27" s="14" t="inlineStr">
        <is>
          <t>Cars.com</t>
        </is>
      </c>
      <c r="G27" s="28" t="n">
        <v>2021</v>
      </c>
      <c r="H27" s="14" t="inlineStr">
        <is>
          <t>Signature</t>
        </is>
      </c>
      <c r="I27" s="30" t="n">
        <v>40451</v>
      </c>
      <c r="J27" s="22" t="n">
        <v>26462</v>
      </c>
      <c r="K27" s="14" t="inlineStr">
        <is>
          <t>Tonkin Gresham Honda</t>
        </is>
      </c>
      <c r="L27" s="14" t="inlineStr">
        <is>
          <t>Troutdale</t>
        </is>
      </c>
      <c r="M27" s="14" t="inlineStr">
        <is>
          <t>OR</t>
        </is>
      </c>
      <c r="N27" s="14" t="inlineStr">
        <is>
          <t>JM3KFBEY2M0349546</t>
        </is>
      </c>
      <c r="O27" s="14" t="inlineStr">
        <is>
          <t>Good Deal</t>
        </is>
      </c>
      <c r="P27" s="22" t="n"/>
      <c r="Q27" s="22" t="n">
        <v>-1960</v>
      </c>
      <c r="R27" s="30" t="n">
        <v>13</v>
      </c>
      <c r="S27" s="14" t="b">
        <v>0</v>
      </c>
      <c r="T27" s="14" t="n">
        <v>0</v>
      </c>
      <c r="U27" s="14" t="b">
        <v>0</v>
      </c>
      <c r="V27" s="30" t="n"/>
      <c r="W27" s="30" t="n">
        <v>2</v>
      </c>
      <c r="X27" s="14" t="n"/>
      <c r="Y27" s="14" t="inlineStr"/>
      <c r="Z27" s="38" t="inlineStr">
        <is>
          <t>open</t>
        </is>
      </c>
    </row>
    <row r="28">
      <c r="B28" s="14" t="b">
        <v>1</v>
      </c>
      <c r="C28" s="14" t="inlineStr"/>
      <c r="D28" s="21" t="n"/>
      <c r="E28" s="14" t="inlineStr">
        <is>
          <t>KBB</t>
        </is>
      </c>
      <c r="F28" s="14" t="inlineStr">
        <is>
          <t>Cars.com</t>
        </is>
      </c>
      <c r="G28" s="28" t="n">
        <v>2022</v>
      </c>
      <c r="H28" s="14" t="inlineStr">
        <is>
          <t>Carbon Edition</t>
        </is>
      </c>
      <c r="I28" s="30" t="n">
        <v>47333</v>
      </c>
      <c r="J28" s="22" t="n">
        <v>27498</v>
      </c>
      <c r="K28" s="14" t="inlineStr">
        <is>
          <t>Doug's Lynnwood Mazda</t>
        </is>
      </c>
      <c r="L28" s="14" t="inlineStr">
        <is>
          <t>Edmonds</t>
        </is>
      </c>
      <c r="M28" s="14" t="inlineStr">
        <is>
          <t>WA</t>
        </is>
      </c>
      <c r="N28" s="14" t="inlineStr">
        <is>
          <t>JM3KFBCM7N0543071</t>
        </is>
      </c>
      <c r="O28" s="14" t="inlineStr">
        <is>
          <t>Good Deal</t>
        </is>
      </c>
      <c r="P28" s="22" t="n"/>
      <c r="Q28" s="22" t="n">
        <v>-2018</v>
      </c>
      <c r="R28" s="30" t="n">
        <v>10</v>
      </c>
      <c r="S28" s="14" t="b">
        <v>0</v>
      </c>
      <c r="T28" s="14" t="n">
        <v>0</v>
      </c>
      <c r="U28" s="14" t="b">
        <v>0</v>
      </c>
      <c r="V28" s="30" t="n"/>
      <c r="W28" s="30" t="n"/>
      <c r="X28" s="14" t="n"/>
      <c r="Y28" s="14" t="inlineStr"/>
      <c r="Z28" s="38" t="inlineStr">
        <is>
          <t>open</t>
        </is>
      </c>
    </row>
    <row r="29">
      <c r="B29" s="14" t="b">
        <v>1</v>
      </c>
      <c r="C29" s="14" t="inlineStr"/>
      <c r="D29" s="21" t="n"/>
      <c r="E29" s="14" t="inlineStr">
        <is>
          <t>CarGurus</t>
        </is>
      </c>
      <c r="F29" s="14" t="inlineStr">
        <is>
          <t>iSeeCars</t>
        </is>
      </c>
      <c r="G29" s="28" t="n">
        <v>2023</v>
      </c>
      <c r="H29" s="14" t="inlineStr">
        <is>
          <t>2.5 S Premium Plus AWD</t>
        </is>
      </c>
      <c r="I29" s="30" t="n">
        <v>23406</v>
      </c>
      <c r="J29" s="22" t="n">
        <v>28988</v>
      </c>
      <c r="K29" s="14" t="inlineStr">
        <is>
          <t>Olympia Mazda</t>
        </is>
      </c>
      <c r="L29" s="14" t="inlineStr">
        <is>
          <t>Olympia</t>
        </is>
      </c>
      <c r="M29" s="14" t="inlineStr">
        <is>
          <t>WA</t>
        </is>
      </c>
      <c r="N29" s="14" t="inlineStr">
        <is>
          <t>JM3KFBEM6P0273606</t>
        </is>
      </c>
      <c r="O29" s="14" t="inlineStr">
        <is>
          <t>Fair Deal</t>
        </is>
      </c>
      <c r="P29" s="22" t="n">
        <v>81</v>
      </c>
      <c r="Q29" s="22" t="n"/>
      <c r="R29" s="30" t="n">
        <v>6</v>
      </c>
      <c r="S29" s="14" t="b">
        <v>1</v>
      </c>
      <c r="T29" s="14" t="n">
        <v>0</v>
      </c>
      <c r="U29" s="14" t="b">
        <v>0</v>
      </c>
      <c r="V29" s="30" t="n">
        <v>38</v>
      </c>
      <c r="W29" s="30" t="n"/>
      <c r="X29" s="14" t="n"/>
      <c r="Y29" s="14" t="inlineStr"/>
      <c r="Z29" s="38" t="inlineStr">
        <is>
          <t>open</t>
        </is>
      </c>
    </row>
    <row r="30">
      <c r="B30" s="14" t="b">
        <v>1</v>
      </c>
      <c r="C30" s="14" t="inlineStr"/>
      <c r="D30" s="21" t="n"/>
      <c r="E30" s="14" t="inlineStr">
        <is>
          <t>CarGurus</t>
        </is>
      </c>
      <c r="F30" s="14" t="inlineStr">
        <is>
          <t>KBB</t>
        </is>
      </c>
      <c r="G30" s="28" t="n">
        <v>2021</v>
      </c>
      <c r="H30" s="14" t="inlineStr">
        <is>
          <t>Touring AWD</t>
        </is>
      </c>
      <c r="I30" s="30" t="n">
        <v>26133</v>
      </c>
      <c r="J30" s="22" t="n">
        <v>26721</v>
      </c>
      <c r="K30" s="14" t="inlineStr">
        <is>
          <t>Mazda of Gladstone</t>
        </is>
      </c>
      <c r="L30" s="14" t="inlineStr">
        <is>
          <t>Gladstone</t>
        </is>
      </c>
      <c r="M30" s="14" t="inlineStr">
        <is>
          <t>OR</t>
        </is>
      </c>
      <c r="N30" s="14" t="inlineStr">
        <is>
          <t>JM3KFBCM5M0474976</t>
        </is>
      </c>
      <c r="O30" s="14" t="inlineStr">
        <is>
          <t>Fair Deal</t>
        </is>
      </c>
      <c r="P30" s="22" t="n">
        <v>-1040</v>
      </c>
      <c r="Q30" s="22" t="n">
        <v>469</v>
      </c>
      <c r="R30" s="30" t="n">
        <v>4</v>
      </c>
      <c r="S30" s="14" t="b">
        <v>0</v>
      </c>
      <c r="T30" s="14" t="n">
        <v>0</v>
      </c>
      <c r="U30" s="14" t="b">
        <v>0</v>
      </c>
      <c r="V30" s="30" t="n">
        <v>10</v>
      </c>
      <c r="W30" s="30" t="n"/>
      <c r="X30" s="14" t="n"/>
      <c r="Y30" s="14" t="inlineStr"/>
      <c r="Z30" s="38" t="inlineStr">
        <is>
          <t>open</t>
        </is>
      </c>
    </row>
    <row r="31">
      <c r="B31" s="14" t="b">
        <v>1</v>
      </c>
      <c r="C31" s="14" t="inlineStr"/>
      <c r="D31" s="21" t="n"/>
      <c r="E31" s="14" t="inlineStr">
        <is>
          <t>CarGurus</t>
        </is>
      </c>
      <c r="F31" s="14" t="inlineStr">
        <is>
          <t>KBB</t>
        </is>
      </c>
      <c r="G31" s="28" t="n">
        <v>2023</v>
      </c>
      <c r="H31" s="14" t="inlineStr">
        <is>
          <t>2.5 S Preferred AWD</t>
        </is>
      </c>
      <c r="I31" s="30" t="n">
        <v>29506</v>
      </c>
      <c r="J31" s="22" t="n">
        <v>26747</v>
      </c>
      <c r="K31" s="14" t="inlineStr">
        <is>
          <t>Mazda of Gladstone</t>
        </is>
      </c>
      <c r="L31" s="14" t="inlineStr">
        <is>
          <t>Gladstone</t>
        </is>
      </c>
      <c r="M31" s="14" t="inlineStr">
        <is>
          <t>OR</t>
        </is>
      </c>
      <c r="N31" s="14" t="inlineStr">
        <is>
          <t>JM3KFBCM1P0279915</t>
        </is>
      </c>
      <c r="O31" s="14" t="inlineStr">
        <is>
          <t>Fair Deal</t>
        </is>
      </c>
      <c r="P31" s="22" t="n">
        <v>30</v>
      </c>
      <c r="Q31" s="22" t="n">
        <v>-527</v>
      </c>
      <c r="R31" s="30" t="n">
        <v>8</v>
      </c>
      <c r="S31" s="14" t="b">
        <v>1</v>
      </c>
      <c r="T31" s="14" t="n">
        <v>0</v>
      </c>
      <c r="U31" s="14" t="b">
        <v>0</v>
      </c>
      <c r="V31" s="30" t="n">
        <v>26</v>
      </c>
      <c r="W31" s="30" t="n"/>
      <c r="X31" s="14" t="n"/>
      <c r="Y31" s="14" t="inlineStr"/>
      <c r="Z31" s="38" t="inlineStr">
        <is>
          <t>open</t>
        </is>
      </c>
    </row>
    <row r="32">
      <c r="B32" s="14" t="b">
        <v>1</v>
      </c>
      <c r="C32" s="14" t="inlineStr"/>
      <c r="D32" s="21" t="n"/>
      <c r="E32" s="14" t="inlineStr">
        <is>
          <t>CarGurus</t>
        </is>
      </c>
      <c r="F32" s="14" t="inlineStr">
        <is>
          <t>CarMax</t>
        </is>
      </c>
      <c r="G32" s="28" t="n">
        <v>2023</v>
      </c>
      <c r="H32" s="14" t="inlineStr">
        <is>
          <t>2.5 S Carbon Edition AWD</t>
        </is>
      </c>
      <c r="I32" s="30" t="n">
        <v>45726</v>
      </c>
      <c r="J32" s="22" t="n">
        <v>26998</v>
      </c>
      <c r="K32" s="14" t="inlineStr">
        <is>
          <t>CarMax Boise (Meridian)</t>
        </is>
      </c>
      <c r="L32" s="14" t="inlineStr">
        <is>
          <t>Meridian</t>
        </is>
      </c>
      <c r="M32" s="14" t="inlineStr">
        <is>
          <t>ID</t>
        </is>
      </c>
      <c r="N32" s="14" t="inlineStr">
        <is>
          <t>JM3KFBCM1P0116648</t>
        </is>
      </c>
      <c r="O32" s="14" t="inlineStr">
        <is>
          <t>Fair Deal</t>
        </is>
      </c>
      <c r="P32" s="22" t="n">
        <v>-191</v>
      </c>
      <c r="Q32" s="22" t="n"/>
      <c r="R32" s="30" t="n">
        <v>24</v>
      </c>
      <c r="S32" s="14" t="b">
        <v>1</v>
      </c>
      <c r="T32" s="14" t="n">
        <v>0</v>
      </c>
      <c r="U32" s="14" t="b">
        <v>0</v>
      </c>
      <c r="V32" s="30" t="n">
        <v>28</v>
      </c>
      <c r="W32" s="30" t="n"/>
      <c r="X32" s="14" t="n"/>
      <c r="Y32" s="14" t="inlineStr">
        <is>
          <t>xfer $149</t>
        </is>
      </c>
      <c r="Z32" s="38" t="inlineStr">
        <is>
          <t>open</t>
        </is>
      </c>
    </row>
    <row r="33">
      <c r="B33" s="14" t="b">
        <v>1</v>
      </c>
      <c r="C33" s="14" t="inlineStr"/>
      <c r="D33" s="21" t="n"/>
      <c r="E33" s="14" t="inlineStr">
        <is>
          <t>CarGurus</t>
        </is>
      </c>
      <c r="F33" s="14" t="inlineStr">
        <is>
          <t>CarMax</t>
        </is>
      </c>
      <c r="G33" s="28" t="n">
        <v>2022</v>
      </c>
      <c r="H33" s="14" t="inlineStr">
        <is>
          <t>2.5 S Select AWD</t>
        </is>
      </c>
      <c r="I33" s="30" t="n">
        <v>44878</v>
      </c>
      <c r="J33" s="22" t="n">
        <v>23998</v>
      </c>
      <c r="K33" s="14" t="inlineStr">
        <is>
          <t>CarMax Tri-Cities - Kennewick</t>
        </is>
      </c>
      <c r="L33" s="14" t="inlineStr">
        <is>
          <t>Richland</t>
        </is>
      </c>
      <c r="M33" s="14" t="inlineStr">
        <is>
          <t>WA</t>
        </is>
      </c>
      <c r="N33" s="14" t="inlineStr">
        <is>
          <t>JM3KFBBM6N0606730</t>
        </is>
      </c>
      <c r="O33" s="14" t="inlineStr">
        <is>
          <t>Fair Deal</t>
        </is>
      </c>
      <c r="P33" s="22" t="n">
        <v>-145</v>
      </c>
      <c r="Q33" s="22" t="n"/>
      <c r="R33" s="30" t="n">
        <v>54</v>
      </c>
      <c r="S33" s="14" t="b">
        <v>1</v>
      </c>
      <c r="T33" s="14" t="n">
        <v>0</v>
      </c>
      <c r="U33" s="14" t="b">
        <v>0</v>
      </c>
      <c r="V33" s="30" t="n">
        <v>26</v>
      </c>
      <c r="W33" s="30" t="n"/>
      <c r="X33" s="14" t="n"/>
      <c r="Y33" s="14" t="inlineStr">
        <is>
          <t>xfer $0</t>
        </is>
      </c>
      <c r="Z33" s="38" t="inlineStr">
        <is>
          <t>open</t>
        </is>
      </c>
    </row>
    <row r="34">
      <c r="B34" s="14" t="b">
        <v>1</v>
      </c>
      <c r="C34" s="14" t="inlineStr"/>
      <c r="D34" s="21" t="n"/>
      <c r="E34" s="14" t="inlineStr">
        <is>
          <t>CarGurus</t>
        </is>
      </c>
      <c r="F34" s="14" t="inlineStr">
        <is>
          <t>KBB</t>
        </is>
      </c>
      <c r="G34" s="28" t="n">
        <v>2021</v>
      </c>
      <c r="H34" s="14" t="inlineStr">
        <is>
          <t>Signature AWD</t>
        </is>
      </c>
      <c r="I34" s="30" t="n">
        <v>25604</v>
      </c>
      <c r="J34" s="22" t="n">
        <v>28199</v>
      </c>
      <c r="K34" s="14" t="inlineStr">
        <is>
          <t>Mazda of Salem</t>
        </is>
      </c>
      <c r="L34" s="14" t="inlineStr">
        <is>
          <t>Salem</t>
        </is>
      </c>
      <c r="M34" s="14" t="inlineStr">
        <is>
          <t>OR</t>
        </is>
      </c>
      <c r="N34" s="14" t="inlineStr">
        <is>
          <t>JM3KFBEY8M0387654</t>
        </is>
      </c>
      <c r="O34" s="14" t="inlineStr">
        <is>
          <t>Fair Deal</t>
        </is>
      </c>
      <c r="P34" s="22" t="n">
        <v>169</v>
      </c>
      <c r="Q34" s="22" t="n">
        <v>-2379</v>
      </c>
      <c r="R34" s="30" t="n">
        <v>30</v>
      </c>
      <c r="S34" s="14" t="b">
        <v>0</v>
      </c>
      <c r="T34" s="14" t="n">
        <v>0</v>
      </c>
      <c r="U34" s="14" t="b">
        <v>0</v>
      </c>
      <c r="V34" s="30" t="n">
        <v>38</v>
      </c>
      <c r="W34" s="30" t="n"/>
      <c r="X34" s="14" t="n"/>
      <c r="Y34" s="14" t="inlineStr"/>
      <c r="Z34" s="38" t="inlineStr">
        <is>
          <t>open</t>
        </is>
      </c>
    </row>
    <row r="35">
      <c r="B35" s="14" t="b">
        <v>1</v>
      </c>
      <c r="C35" s="14" t="inlineStr"/>
      <c r="D35" s="21" t="n"/>
      <c r="E35" s="14" t="inlineStr">
        <is>
          <t>CarGurus</t>
        </is>
      </c>
      <c r="F35" s="14" t="inlineStr"/>
      <c r="G35" s="28" t="n">
        <v>2023</v>
      </c>
      <c r="H35" s="14" t="inlineStr">
        <is>
          <t>2.5 S Carbon Edition AWD</t>
        </is>
      </c>
      <c r="I35" s="30" t="n">
        <v>32200</v>
      </c>
      <c r="J35" s="22" t="n">
        <v>27998</v>
      </c>
      <c r="K35" s="14" t="inlineStr">
        <is>
          <t>CarMax Beaverton</t>
        </is>
      </c>
      <c r="L35" s="14" t="inlineStr">
        <is>
          <t>Beaverton</t>
        </is>
      </c>
      <c r="M35" s="14" t="inlineStr">
        <is>
          <t>OR</t>
        </is>
      </c>
      <c r="N35" s="14" t="inlineStr">
        <is>
          <t>JM3KFBCM8P0257586</t>
        </is>
      </c>
      <c r="O35" s="14" t="inlineStr">
        <is>
          <t>Fair Deal</t>
        </is>
      </c>
      <c r="P35" s="22" t="n">
        <v>-173</v>
      </c>
      <c r="Q35" s="22" t="n"/>
      <c r="R35" s="30" t="n">
        <v>25</v>
      </c>
      <c r="S35" s="14" t="b">
        <v>0</v>
      </c>
      <c r="T35" s="14" t="n">
        <v>0</v>
      </c>
      <c r="U35" s="14" t="b">
        <v>0</v>
      </c>
      <c r="V35" s="30" t="n">
        <v>27</v>
      </c>
      <c r="W35" s="30" t="n"/>
      <c r="X35" s="14" t="n"/>
      <c r="Y35" s="14" t="inlineStr"/>
      <c r="Z35" s="38" t="inlineStr">
        <is>
          <t>open</t>
        </is>
      </c>
    </row>
    <row r="36">
      <c r="B36" s="14" t="b">
        <v>1</v>
      </c>
      <c r="C36" s="14" t="inlineStr"/>
      <c r="D36" s="21" t="n"/>
      <c r="E36" s="14" t="inlineStr">
        <is>
          <t>CarGurus</t>
        </is>
      </c>
      <c r="F36" s="14" t="inlineStr"/>
      <c r="G36" s="28" t="n">
        <v>2022</v>
      </c>
      <c r="H36" s="14" t="inlineStr">
        <is>
          <t>2.5 S Preferred AWD</t>
        </is>
      </c>
      <c r="I36" s="30" t="n">
        <v>44278</v>
      </c>
      <c r="J36" s="22" t="n">
        <v>26219</v>
      </c>
      <c r="K36" s="14" t="inlineStr">
        <is>
          <t>Legacy Chrysler Jeep Dodge RAM</t>
        </is>
      </c>
      <c r="L36" s="14" t="inlineStr">
        <is>
          <t>La Grande</t>
        </is>
      </c>
      <c r="M36" s="14" t="inlineStr">
        <is>
          <t>OR</t>
        </is>
      </c>
      <c r="N36" s="14" t="inlineStr">
        <is>
          <t>JM3KFBCM5N0566459</t>
        </is>
      </c>
      <c r="O36" s="14" t="inlineStr">
        <is>
          <t>Fair Deal</t>
        </is>
      </c>
      <c r="P36" s="22" t="n">
        <v>-542</v>
      </c>
      <c r="Q36" s="22" t="n"/>
      <c r="R36" s="30" t="n">
        <v>33</v>
      </c>
      <c r="S36" s="14" t="b">
        <v>0</v>
      </c>
      <c r="T36" s="14" t="n">
        <v>0</v>
      </c>
      <c r="U36" s="14" t="b">
        <v>0</v>
      </c>
      <c r="V36" s="30" t="n">
        <v>17</v>
      </c>
      <c r="W36" s="30" t="n"/>
      <c r="X36" s="14" t="n"/>
      <c r="Y36" s="14" t="inlineStr"/>
      <c r="Z36" s="38" t="inlineStr">
        <is>
          <t>open</t>
        </is>
      </c>
    </row>
    <row r="37">
      <c r="B37" s="14" t="b">
        <v>1</v>
      </c>
      <c r="C37" s="14" t="inlineStr"/>
      <c r="D37" s="21" t="n"/>
      <c r="E37" s="14" t="inlineStr">
        <is>
          <t>CarGurus</t>
        </is>
      </c>
      <c r="F37" s="14" t="inlineStr">
        <is>
          <t>KBB</t>
        </is>
      </c>
      <c r="G37" s="28" t="n">
        <v>2023</v>
      </c>
      <c r="H37" s="14" t="inlineStr">
        <is>
          <t>2.5 S Preferred AWD</t>
        </is>
      </c>
      <c r="I37" s="30" t="n">
        <v>35341</v>
      </c>
      <c r="J37" s="22" t="n">
        <v>27040</v>
      </c>
      <c r="K37" s="14" t="inlineStr">
        <is>
          <t>Roger Kehdi Mitsubishi</t>
        </is>
      </c>
      <c r="L37" s="14" t="inlineStr">
        <is>
          <t>Tigard</t>
        </is>
      </c>
      <c r="M37" s="14" t="inlineStr">
        <is>
          <t>OR</t>
        </is>
      </c>
      <c r="N37" s="14" t="inlineStr">
        <is>
          <t>JM3KFBCM2P0183114</t>
        </is>
      </c>
      <c r="O37" s="14" t="inlineStr">
        <is>
          <t>Fair Deal</t>
        </is>
      </c>
      <c r="P37" s="22" t="n">
        <v>-621</v>
      </c>
      <c r="Q37" s="22" t="n">
        <v>-1263</v>
      </c>
      <c r="R37" s="30" t="n">
        <v>88</v>
      </c>
      <c r="S37" s="14" t="b">
        <v>1</v>
      </c>
      <c r="T37" s="14" t="n">
        <v>0</v>
      </c>
      <c r="U37" s="14" t="b">
        <v>0</v>
      </c>
      <c r="V37" s="30" t="n">
        <v>29</v>
      </c>
      <c r="W37" s="30" t="n">
        <v>3</v>
      </c>
      <c r="X37" s="14" t="n"/>
      <c r="Y37" s="14" t="inlineStr"/>
      <c r="Z37" s="38" t="inlineStr">
        <is>
          <t>open</t>
        </is>
      </c>
    </row>
    <row r="38">
      <c r="B38" s="14" t="b">
        <v>1</v>
      </c>
      <c r="C38" s="14" t="inlineStr"/>
      <c r="D38" s="21" t="n"/>
      <c r="E38" s="14" t="inlineStr">
        <is>
          <t>CarGurus</t>
        </is>
      </c>
      <c r="F38" s="14" t="inlineStr">
        <is>
          <t>KBB</t>
        </is>
      </c>
      <c r="G38" s="28" t="n">
        <v>2022</v>
      </c>
      <c r="H38" s="14" t="inlineStr">
        <is>
          <t>2.5 S Preferred AWD</t>
        </is>
      </c>
      <c r="I38" s="30" t="n">
        <v>34843</v>
      </c>
      <c r="J38" s="22" t="n">
        <v>26262</v>
      </c>
      <c r="K38" s="14" t="inlineStr">
        <is>
          <t>Dick Hannah Honda</t>
        </is>
      </c>
      <c r="L38" s="14" t="inlineStr">
        <is>
          <t>Vancouver</t>
        </is>
      </c>
      <c r="M38" s="14" t="inlineStr">
        <is>
          <t>WA</t>
        </is>
      </c>
      <c r="N38" s="14" t="inlineStr">
        <is>
          <t>JM3KFBCM0N1603573</t>
        </is>
      </c>
      <c r="O38" s="14" t="inlineStr">
        <is>
          <t>Fair Deal</t>
        </is>
      </c>
      <c r="P38" s="22" t="n">
        <v>-659</v>
      </c>
      <c r="Q38" s="22" t="n">
        <v>-948</v>
      </c>
      <c r="R38" s="30" t="n">
        <v>28</v>
      </c>
      <c r="S38" s="14" t="b">
        <v>1</v>
      </c>
      <c r="T38" s="14" t="n">
        <v>0</v>
      </c>
      <c r="U38" s="14" t="b">
        <v>0</v>
      </c>
      <c r="V38" s="30" t="n">
        <v>25</v>
      </c>
      <c r="W38" s="30" t="n"/>
      <c r="X38" s="14" t="n"/>
      <c r="Y38" s="14" t="inlineStr"/>
      <c r="Z38" s="38" t="inlineStr">
        <is>
          <t>open</t>
        </is>
      </c>
    </row>
    <row r="39">
      <c r="B39" s="14" t="b">
        <v>1</v>
      </c>
      <c r="C39" s="14" t="inlineStr"/>
      <c r="D39" s="21" t="n"/>
      <c r="E39" s="14" t="inlineStr">
        <is>
          <t>CarGurus</t>
        </is>
      </c>
      <c r="F39" s="14" t="inlineStr">
        <is>
          <t>KBB</t>
        </is>
      </c>
      <c r="G39" s="28" t="n">
        <v>2022</v>
      </c>
      <c r="H39" s="14" t="inlineStr">
        <is>
          <t>2.5 S Carbon Edition AWD</t>
        </is>
      </c>
      <c r="I39" s="30" t="n">
        <v>39250</v>
      </c>
      <c r="J39" s="22" t="n">
        <v>27250</v>
      </c>
      <c r="K39" s="14" t="inlineStr">
        <is>
          <t>Newberg Dodge Jeep Chrysler</t>
        </is>
      </c>
      <c r="L39" s="14" t="inlineStr">
        <is>
          <t>Newberg</t>
        </is>
      </c>
      <c r="M39" s="14" t="inlineStr">
        <is>
          <t>OR</t>
        </is>
      </c>
      <c r="N39" s="14" t="inlineStr">
        <is>
          <t>JM3KFBCM1N1614906</t>
        </is>
      </c>
      <c r="O39" s="14" t="inlineStr">
        <is>
          <t>Fair Deal</t>
        </is>
      </c>
      <c r="P39" s="22" t="n">
        <v>-274</v>
      </c>
      <c r="Q39" s="22" t="n">
        <v>-1184</v>
      </c>
      <c r="R39" s="30" t="n">
        <v>16</v>
      </c>
      <c r="S39" s="14" t="b">
        <v>0</v>
      </c>
      <c r="T39" s="14" t="n">
        <v>0</v>
      </c>
      <c r="U39" s="14" t="b">
        <v>0</v>
      </c>
      <c r="V39" s="30" t="n">
        <v>32</v>
      </c>
      <c r="W39" s="30" t="n"/>
      <c r="X39" s="14" t="n"/>
      <c r="Y39" s="14" t="inlineStr"/>
      <c r="Z39" s="38" t="inlineStr">
        <is>
          <t>open</t>
        </is>
      </c>
    </row>
    <row r="40">
      <c r="B40" s="14" t="b">
        <v>1</v>
      </c>
      <c r="C40" s="14" t="inlineStr"/>
      <c r="D40" s="21" t="n"/>
      <c r="E40" s="14" t="inlineStr">
        <is>
          <t>CarGurus</t>
        </is>
      </c>
      <c r="F40" s="14" t="inlineStr">
        <is>
          <t>KBB</t>
        </is>
      </c>
      <c r="G40" s="28" t="n">
        <v>2022</v>
      </c>
      <c r="H40" s="14" t="inlineStr">
        <is>
          <t>2.5 S Carbon Edition AWD</t>
        </is>
      </c>
      <c r="I40" s="30" t="n">
        <v>45860</v>
      </c>
      <c r="J40" s="22" t="n">
        <v>26915</v>
      </c>
      <c r="K40" s="14" t="inlineStr">
        <is>
          <t>Newport Chevrolet GMC</t>
        </is>
      </c>
      <c r="L40" s="14" t="inlineStr">
        <is>
          <t>Newport</t>
        </is>
      </c>
      <c r="M40" s="14" t="inlineStr">
        <is>
          <t>OR</t>
        </is>
      </c>
      <c r="N40" s="14" t="inlineStr">
        <is>
          <t>JM3KFBCM4N0540855</t>
        </is>
      </c>
      <c r="O40" s="14" t="inlineStr">
        <is>
          <t>Fair Deal</t>
        </is>
      </c>
      <c r="P40" s="22" t="n">
        <v>-689</v>
      </c>
      <c r="Q40" s="22" t="n">
        <v>-1285</v>
      </c>
      <c r="R40" s="30" t="n">
        <v>126</v>
      </c>
      <c r="S40" s="14" t="b">
        <v>0</v>
      </c>
      <c r="T40" s="14" t="n">
        <v>0</v>
      </c>
      <c r="U40" s="14" t="b">
        <v>1</v>
      </c>
      <c r="V40" s="30" t="n">
        <v>27</v>
      </c>
      <c r="W40" s="30" t="n">
        <v>3</v>
      </c>
      <c r="X40" s="14" t="n"/>
      <c r="Y40" s="14" t="inlineStr"/>
      <c r="Z40" s="38" t="inlineStr">
        <is>
          <t>open</t>
        </is>
      </c>
    </row>
    <row r="41">
      <c r="B41" s="14" t="b">
        <v>1</v>
      </c>
      <c r="C41" s="14" t="inlineStr"/>
      <c r="D41" s="21" t="n"/>
      <c r="E41" s="14" t="inlineStr">
        <is>
          <t>KBB</t>
        </is>
      </c>
      <c r="F41" s="14" t="inlineStr"/>
      <c r="G41" s="28" t="n">
        <v>2023</v>
      </c>
      <c r="H41" s="14" t="inlineStr">
        <is>
          <t>AWD 2.5 S w/ Premium Plus Pkg</t>
        </is>
      </c>
      <c r="I41" s="30" t="n">
        <v>21833</v>
      </c>
      <c r="J41" s="22" t="n">
        <v>28982</v>
      </c>
      <c r="K41" s="14" t="inlineStr">
        <is>
          <t>Ron Tonkin Mazda of Portland</t>
        </is>
      </c>
      <c r="L41" s="14" t="inlineStr">
        <is>
          <t>Portland</t>
        </is>
      </c>
      <c r="M41" s="14" t="inlineStr">
        <is>
          <t>OR</t>
        </is>
      </c>
      <c r="N41" s="14" t="inlineStr">
        <is>
          <t>JM3KFBEM9P0155100</t>
        </is>
      </c>
      <c r="O41" s="14" t="n"/>
      <c r="P41" s="22" t="n"/>
      <c r="Q41" s="22" t="n">
        <v>1599</v>
      </c>
      <c r="R41" s="30" t="n">
        <v>21</v>
      </c>
      <c r="S41" s="14" t="b">
        <v>1</v>
      </c>
      <c r="T41" s="14" t="n">
        <v>0</v>
      </c>
      <c r="U41" s="14" t="b">
        <v>0</v>
      </c>
      <c r="V41" s="30" t="n"/>
      <c r="W41" s="30" t="n"/>
      <c r="X41" s="14" t="n"/>
      <c r="Y41" s="14" t="inlineStr"/>
      <c r="Z41" s="38" t="inlineStr">
        <is>
          <t>open</t>
        </is>
      </c>
    </row>
    <row r="42">
      <c r="B42" s="14" t="b">
        <v>1</v>
      </c>
      <c r="C42" s="14" t="inlineStr"/>
      <c r="D42" s="21" t="n"/>
      <c r="E42" s="14" t="inlineStr">
        <is>
          <t>KBB</t>
        </is>
      </c>
      <c r="F42" s="14" t="inlineStr"/>
      <c r="G42" s="28" t="n">
        <v>2021</v>
      </c>
      <c r="H42" s="14" t="inlineStr">
        <is>
          <t>Grand Touring</t>
        </is>
      </c>
      <c r="I42" s="30" t="n">
        <v>27089</v>
      </c>
      <c r="J42" s="22" t="n">
        <v>28500</v>
      </c>
      <c r="K42" s="14" t="inlineStr">
        <is>
          <t>Doug's Lynnwood Mazda</t>
        </is>
      </c>
      <c r="L42" s="14" t="inlineStr">
        <is>
          <t>Edmonds</t>
        </is>
      </c>
      <c r="M42" s="14" t="inlineStr">
        <is>
          <t>WA</t>
        </is>
      </c>
      <c r="N42" s="14" t="inlineStr">
        <is>
          <t>JM3KFBDM1M0461446</t>
        </is>
      </c>
      <c r="O42" s="14" t="n"/>
      <c r="P42" s="22" t="n"/>
      <c r="Q42" s="22" t="n">
        <v>949</v>
      </c>
      <c r="R42" s="30" t="n">
        <v>50</v>
      </c>
      <c r="S42" s="14" t="b">
        <v>1</v>
      </c>
      <c r="T42" s="14" t="n">
        <v>0</v>
      </c>
      <c r="U42" s="14" t="b">
        <v>0</v>
      </c>
      <c r="V42" s="30" t="n"/>
      <c r="W42" s="30" t="n"/>
      <c r="X42" s="14" t="n"/>
      <c r="Y42" s="14" t="inlineStr"/>
      <c r="Z42" s="38" t="inlineStr">
        <is>
          <t>open</t>
        </is>
      </c>
    </row>
    <row r="43">
      <c r="B43" s="14" t="b">
        <v>1</v>
      </c>
      <c r="C43" s="14" t="inlineStr"/>
      <c r="D43" s="21" t="n"/>
      <c r="E43" s="14" t="inlineStr">
        <is>
          <t>KBB</t>
        </is>
      </c>
      <c r="F43" s="14" t="inlineStr"/>
      <c r="G43" s="28" t="n">
        <v>2023</v>
      </c>
      <c r="H43" s="14" t="inlineStr">
        <is>
          <t>AWD 2.5 S w/ Premium Package</t>
        </is>
      </c>
      <c r="I43" s="30" t="n">
        <v>17505</v>
      </c>
      <c r="J43" s="22" t="n">
        <v>28999</v>
      </c>
      <c r="K43" s="14" t="inlineStr">
        <is>
          <t>Rodland Toyota</t>
        </is>
      </c>
      <c r="L43" s="14" t="inlineStr">
        <is>
          <t>Everett</t>
        </is>
      </c>
      <c r="M43" s="14" t="inlineStr">
        <is>
          <t>WA</t>
        </is>
      </c>
      <c r="N43" s="14" t="inlineStr">
        <is>
          <t>JM3KFBDM7P0281828</t>
        </is>
      </c>
      <c r="O43" s="14" t="n"/>
      <c r="P43" s="22" t="n"/>
      <c r="Q43" s="22" t="n">
        <v>-499</v>
      </c>
      <c r="R43" s="30" t="n">
        <v>24</v>
      </c>
      <c r="S43" s="14" t="b">
        <v>1</v>
      </c>
      <c r="T43" s="14" t="n">
        <v>0</v>
      </c>
      <c r="U43" s="14" t="b">
        <v>0</v>
      </c>
      <c r="V43" s="30" t="n"/>
      <c r="W43" s="30" t="n"/>
      <c r="X43" s="14" t="n"/>
      <c r="Y43" s="14" t="inlineStr"/>
      <c r="Z43" s="38" t="inlineStr">
        <is>
          <t>open</t>
        </is>
      </c>
    </row>
    <row r="44">
      <c r="B44" s="14" t="b">
        <v>1</v>
      </c>
      <c r="C44" s="14" t="inlineStr"/>
      <c r="D44" s="21" t="n"/>
      <c r="E44" s="14" t="inlineStr">
        <is>
          <t>KBB</t>
        </is>
      </c>
      <c r="F44" s="14" t="inlineStr"/>
      <c r="G44" s="28" t="n">
        <v>2022</v>
      </c>
      <c r="H44" s="14" t="inlineStr">
        <is>
          <t>Carbon Edition</t>
        </is>
      </c>
      <c r="I44" s="30" t="n">
        <v>40095</v>
      </c>
      <c r="J44" s="22" t="n">
        <v>27772</v>
      </c>
      <c r="K44" s="14" t="inlineStr">
        <is>
          <t>Ron Tonkin Mazda of Portland</t>
        </is>
      </c>
      <c r="L44" s="14" t="inlineStr">
        <is>
          <t>Portland</t>
        </is>
      </c>
      <c r="M44" s="14" t="inlineStr">
        <is>
          <t>OR</t>
        </is>
      </c>
      <c r="N44" s="14" t="inlineStr">
        <is>
          <t>JM3KFBCM4N0538233</t>
        </is>
      </c>
      <c r="O44" s="14" t="n"/>
      <c r="P44" s="22" t="n"/>
      <c r="Q44" s="22" t="n"/>
      <c r="R44" s="30" t="n">
        <v>1</v>
      </c>
      <c r="S44" s="14" t="b">
        <v>1</v>
      </c>
      <c r="T44" s="14" t="n">
        <v>0</v>
      </c>
      <c r="U44" s="14" t="b">
        <v>0</v>
      </c>
      <c r="V44" s="30" t="n"/>
      <c r="W44" s="30" t="n"/>
      <c r="X44" s="14" t="n"/>
      <c r="Y44" s="14" t="inlineStr">
        <is>
          <t>kbb_fpp_delta raw value -27772 is an artifact of a null KBB FPP — ignored</t>
        </is>
      </c>
      <c r="Z44" s="38" t="inlineStr">
        <is>
          <t>open</t>
        </is>
      </c>
    </row>
    <row r="45">
      <c r="B45" s="14" t="b">
        <v>1</v>
      </c>
      <c r="C45" s="14" t="inlineStr"/>
      <c r="D45" s="21" t="n"/>
      <c r="E45" s="14" t="inlineStr">
        <is>
          <t>KBB</t>
        </is>
      </c>
      <c r="F45" s="14" t="inlineStr"/>
      <c r="G45" s="28" t="n">
        <v>2023</v>
      </c>
      <c r="H45" s="14" t="inlineStr">
        <is>
          <t>AWD 2.5 S w/ Premium Package</t>
        </is>
      </c>
      <c r="I45" s="30" t="n">
        <v>44381</v>
      </c>
      <c r="J45" s="22" t="n">
        <v>27000</v>
      </c>
      <c r="K45" s="14" t="inlineStr">
        <is>
          <t>McCurley Chevrolet</t>
        </is>
      </c>
      <c r="L45" s="14" t="inlineStr">
        <is>
          <t>Pasco</t>
        </is>
      </c>
      <c r="M45" s="14" t="inlineStr">
        <is>
          <t>WA</t>
        </is>
      </c>
      <c r="N45" s="14" t="inlineStr">
        <is>
          <t>JM3KFBDM8P0184766</t>
        </is>
      </c>
      <c r="O45" s="14" t="n"/>
      <c r="P45" s="22" t="n"/>
      <c r="Q45" s="22" t="n"/>
      <c r="R45" s="30" t="n">
        <v>1</v>
      </c>
      <c r="S45" s="14" t="b">
        <v>1</v>
      </c>
      <c r="T45" s="14" t="n">
        <v>0</v>
      </c>
      <c r="U45" s="14" t="b">
        <v>0</v>
      </c>
      <c r="V45" s="30" t="n"/>
      <c r="W45" s="30" t="n"/>
      <c r="X45" s="14" t="n"/>
      <c r="Y45" s="14" t="inlineStr">
        <is>
          <t>kbb_fpp_delta raw value -27000 is an artifact of a null KBB FPP — ignored</t>
        </is>
      </c>
      <c r="Z45" s="38" t="inlineStr">
        <is>
          <t>open</t>
        </is>
      </c>
    </row>
    <row r="46">
      <c r="B46" s="14" t="b">
        <v>1</v>
      </c>
      <c r="C46" s="14" t="inlineStr"/>
      <c r="D46" s="21" t="n"/>
      <c r="E46" s="14" t="inlineStr">
        <is>
          <t>CarGurus</t>
        </is>
      </c>
      <c r="F46" s="14" t="inlineStr">
        <is>
          <t>KBB</t>
        </is>
      </c>
      <c r="G46" s="28" t="n">
        <v>2021</v>
      </c>
      <c r="H46" s="14" t="inlineStr">
        <is>
          <t>Touring AWD</t>
        </is>
      </c>
      <c r="I46" s="30" t="n">
        <v>34475</v>
      </c>
      <c r="J46" s="22" t="n">
        <v>26688</v>
      </c>
      <c r="K46" s="14" t="inlineStr">
        <is>
          <t>Knudtsen Foothills Mazda</t>
        </is>
      </c>
      <c r="L46" s="14" t="inlineStr">
        <is>
          <t>Spokane</t>
        </is>
      </c>
      <c r="M46" s="14" t="inlineStr">
        <is>
          <t>WA</t>
        </is>
      </c>
      <c r="N46" s="14" t="inlineStr">
        <is>
          <t>JM3KFBCM4M0442052</t>
        </is>
      </c>
      <c r="O46" s="14" t="inlineStr">
        <is>
          <t>High Price</t>
        </is>
      </c>
      <c r="P46" s="22" t="n">
        <v>-1810</v>
      </c>
      <c r="Q46" s="22" t="n">
        <v>-48</v>
      </c>
      <c r="R46" s="30" t="n">
        <v>16</v>
      </c>
      <c r="S46" s="14" t="b">
        <v>1</v>
      </c>
      <c r="T46" s="14" t="n">
        <v>0</v>
      </c>
      <c r="U46" s="14" t="b">
        <v>0</v>
      </c>
      <c r="V46" s="30" t="n">
        <v>24</v>
      </c>
      <c r="W46" s="30" t="n"/>
      <c r="X46" s="14" t="n"/>
      <c r="Y46" s="14" t="inlineStr"/>
      <c r="Z46" s="38" t="inlineStr">
        <is>
          <t>open</t>
        </is>
      </c>
    </row>
    <row r="47">
      <c r="B47" s="14" t="b">
        <v>1</v>
      </c>
      <c r="C47" s="14" t="inlineStr"/>
      <c r="D47" s="21" t="n"/>
      <c r="E47" s="14" t="inlineStr">
        <is>
          <t>KBB</t>
        </is>
      </c>
      <c r="F47" s="14" t="inlineStr">
        <is>
          <t>TrueCar</t>
        </is>
      </c>
      <c r="G47" s="28" t="n">
        <v>2023</v>
      </c>
      <c r="H47" s="14" t="inlineStr">
        <is>
          <t>Carbon Edition</t>
        </is>
      </c>
      <c r="I47" s="30" t="n">
        <v>47789</v>
      </c>
      <c r="J47" s="22" t="n">
        <v>26962</v>
      </c>
      <c r="K47" s="14" t="inlineStr">
        <is>
          <t>Tonkin Gresham Honda</t>
        </is>
      </c>
      <c r="L47" s="14" t="inlineStr">
        <is>
          <t>Troutdale</t>
        </is>
      </c>
      <c r="M47" s="14" t="inlineStr">
        <is>
          <t>OR</t>
        </is>
      </c>
      <c r="N47" s="14" t="inlineStr">
        <is>
          <t>JM3KFBCM3P0103108</t>
        </is>
      </c>
      <c r="O47" s="14" t="n"/>
      <c r="P47" s="22" t="n"/>
      <c r="Q47" s="22" t="n">
        <v>-1572</v>
      </c>
      <c r="R47" s="30" t="n">
        <v>2</v>
      </c>
      <c r="S47" s="14" t="b">
        <v>1</v>
      </c>
      <c r="T47" s="14" t="n">
        <v>0</v>
      </c>
      <c r="U47" s="14" t="b">
        <v>0</v>
      </c>
      <c r="V47" s="30" t="n"/>
      <c r="W47" s="30" t="n"/>
      <c r="X47" s="14" t="n"/>
      <c r="Y47" s="14" t="inlineStr"/>
      <c r="Z47" s="38" t="inlineStr">
        <is>
          <t>open</t>
        </is>
      </c>
    </row>
    <row r="48">
      <c r="B48" s="14" t="b">
        <v>1</v>
      </c>
      <c r="C48" s="14" t="inlineStr"/>
      <c r="D48" s="21" t="n"/>
      <c r="E48" s="14" t="inlineStr">
        <is>
          <t>iSeeCars</t>
        </is>
      </c>
      <c r="F48" s="14" t="inlineStr"/>
      <c r="G48" s="28" t="n">
        <v>2021</v>
      </c>
      <c r="H48" s="14" t="inlineStr">
        <is>
          <t>Grand Touring</t>
        </is>
      </c>
      <c r="I48" s="30" t="n">
        <v>15281</v>
      </c>
      <c r="J48" s="22" t="n">
        <v>27777</v>
      </c>
      <c r="K48" s="14" t="n"/>
      <c r="L48" s="14" t="inlineStr">
        <is>
          <t>Tacoma</t>
        </is>
      </c>
      <c r="M48" s="14" t="inlineStr">
        <is>
          <t>WA</t>
        </is>
      </c>
      <c r="N48" s="14" t="n"/>
      <c r="O48" s="14" t="n"/>
      <c r="P48" s="22" t="n"/>
      <c r="Q48" s="22" t="n"/>
      <c r="R48" s="30" t="n"/>
      <c r="S48" s="14" t="n"/>
      <c r="T48" s="14" t="n"/>
      <c r="U48" s="14" t="n"/>
      <c r="V48" s="30" t="n"/>
      <c r="W48" s="30" t="n"/>
      <c r="X48" s="14" t="b">
        <v>1</v>
      </c>
      <c r="Y48" s="14" t="inlineStr"/>
      <c r="Z48" s="14" t="n"/>
    </row>
    <row r="49">
      <c r="B49" s="14" t="b">
        <v>1</v>
      </c>
      <c r="C49" s="14" t="inlineStr"/>
      <c r="D49" s="21" t="n"/>
      <c r="E49" s="14" t="inlineStr">
        <is>
          <t>iSeeCars</t>
        </is>
      </c>
      <c r="F49" s="14" t="inlineStr"/>
      <c r="G49" s="28" t="n">
        <v>2023</v>
      </c>
      <c r="H49" s="14" t="inlineStr">
        <is>
          <t>2.5 S Preferred</t>
        </is>
      </c>
      <c r="I49" s="30" t="n">
        <v>16612</v>
      </c>
      <c r="J49" s="22" t="n">
        <v>27800</v>
      </c>
      <c r="K49" s="14" t="n"/>
      <c r="L49" s="14" t="inlineStr">
        <is>
          <t>Hillsboro</t>
        </is>
      </c>
      <c r="M49" s="14" t="inlineStr">
        <is>
          <t>OR</t>
        </is>
      </c>
      <c r="N49" s="14" t="n"/>
      <c r="O49" s="14" t="n"/>
      <c r="P49" s="22" t="n"/>
      <c r="Q49" s="22" t="n"/>
      <c r="R49" s="30" t="n"/>
      <c r="S49" s="14" t="n"/>
      <c r="T49" s="14" t="n"/>
      <c r="U49" s="14" t="n"/>
      <c r="V49" s="30" t="n"/>
      <c r="W49" s="30" t="n"/>
      <c r="X49" s="14" t="b">
        <v>1</v>
      </c>
      <c r="Y49" s="14" t="inlineStr"/>
      <c r="Z49" s="14" t="n"/>
    </row>
    <row r="50">
      <c r="B50" s="14" t="b">
        <v>1</v>
      </c>
      <c r="C50" s="14" t="inlineStr"/>
      <c r="D50" s="21" t="n"/>
      <c r="E50" s="14" t="inlineStr">
        <is>
          <t>Cars.com</t>
        </is>
      </c>
      <c r="F50" s="14" t="inlineStr">
        <is>
          <t>iSeeCars, Craigslist</t>
        </is>
      </c>
      <c r="G50" s="28" t="n">
        <v>2023</v>
      </c>
      <c r="H50" s="14" t="inlineStr">
        <is>
          <t>2.5 S Preferred Package</t>
        </is>
      </c>
      <c r="I50" s="30" t="n">
        <v>16969</v>
      </c>
      <c r="J50" s="22" t="n">
        <v>26900</v>
      </c>
      <c r="K50" s="14" t="inlineStr">
        <is>
          <t>Royal Moore Toyota</t>
        </is>
      </c>
      <c r="L50" s="14" t="inlineStr">
        <is>
          <t>Hillsboro</t>
        </is>
      </c>
      <c r="M50" s="14" t="inlineStr">
        <is>
          <t>OR</t>
        </is>
      </c>
      <c r="N50" s="14" t="inlineStr">
        <is>
          <t>JM3KFBCM0P0182690</t>
        </is>
      </c>
      <c r="O50" s="14" t="n"/>
      <c r="P50" s="22" t="n"/>
      <c r="Q50" s="22" t="n"/>
      <c r="R50" s="30" t="n"/>
      <c r="S50" s="14" t="n"/>
      <c r="T50" s="14" t="n"/>
      <c r="U50" s="14" t="n"/>
      <c r="V50" s="30" t="n"/>
      <c r="W50" s="30" t="n"/>
      <c r="X50" s="14" t="b">
        <v>1</v>
      </c>
      <c r="Y50" s="14" t="inlineStr"/>
      <c r="Z50" s="38" t="inlineStr">
        <is>
          <t>open</t>
        </is>
      </c>
    </row>
    <row r="51">
      <c r="B51" s="14" t="b">
        <v>1</v>
      </c>
      <c r="C51" s="14" t="inlineStr"/>
      <c r="D51" s="21" t="n"/>
      <c r="E51" s="14" t="inlineStr">
        <is>
          <t>CarMax</t>
        </is>
      </c>
      <c r="F51" s="14" t="inlineStr"/>
      <c r="G51" s="28" t="n">
        <v>2021</v>
      </c>
      <c r="H51" s="14" t="inlineStr">
        <is>
          <t>Touring</t>
        </is>
      </c>
      <c r="I51" s="30" t="n">
        <v>22725</v>
      </c>
      <c r="J51" s="22" t="n">
        <v>26998</v>
      </c>
      <c r="K51" s="14" t="inlineStr">
        <is>
          <t>CarMax Laurel</t>
        </is>
      </c>
      <c r="L51" s="14" t="inlineStr">
        <is>
          <t>Laurel</t>
        </is>
      </c>
      <c r="M51" s="14" t="inlineStr">
        <is>
          <t>MD</t>
        </is>
      </c>
      <c r="N51" s="14" t="inlineStr">
        <is>
          <t>JM3KFBCMXM0489585</t>
        </is>
      </c>
      <c r="O51" s="14" t="n"/>
      <c r="P51" s="22" t="n"/>
      <c r="Q51" s="22" t="n"/>
      <c r="R51" s="30" t="n"/>
      <c r="S51" s="14" t="n"/>
      <c r="T51" s="14" t="n"/>
      <c r="U51" s="14" t="n"/>
      <c r="V51" s="30" t="n"/>
      <c r="W51" s="30" t="n"/>
      <c r="X51" s="14" t="b">
        <v>1</v>
      </c>
      <c r="Y51" s="14" t="inlineStr">
        <is>
          <t>xfer $1999</t>
        </is>
      </c>
      <c r="Z51" s="38" t="inlineStr">
        <is>
          <t>open</t>
        </is>
      </c>
    </row>
    <row r="52">
      <c r="B52" s="14" t="b">
        <v>1</v>
      </c>
      <c r="C52" s="14" t="inlineStr"/>
      <c r="D52" s="21" t="n"/>
      <c r="E52" s="14" t="inlineStr">
        <is>
          <t>iSeeCars</t>
        </is>
      </c>
      <c r="F52" s="14" t="inlineStr"/>
      <c r="G52" s="28" t="n">
        <v>2022</v>
      </c>
      <c r="H52" s="14" t="inlineStr">
        <is>
          <t>2.5 Turbo</t>
        </is>
      </c>
      <c r="I52" s="30" t="n">
        <v>25353</v>
      </c>
      <c r="J52" s="22" t="n">
        <v>28040</v>
      </c>
      <c r="K52" s="14" t="n"/>
      <c r="L52" s="14" t="inlineStr">
        <is>
          <t>Seattle</t>
        </is>
      </c>
      <c r="M52" s="14" t="inlineStr">
        <is>
          <t>WA</t>
        </is>
      </c>
      <c r="N52" s="14" t="n"/>
      <c r="O52" s="14" t="n"/>
      <c r="P52" s="22" t="n"/>
      <c r="Q52" s="22" t="n"/>
      <c r="R52" s="30" t="n"/>
      <c r="S52" s="14" t="n"/>
      <c r="T52" s="14" t="n"/>
      <c r="U52" s="14" t="n"/>
      <c r="V52" s="30" t="n"/>
      <c r="W52" s="30" t="n"/>
      <c r="X52" s="14" t="b">
        <v>1</v>
      </c>
      <c r="Y52" s="14" t="inlineStr"/>
      <c r="Z52" s="14" t="n"/>
    </row>
    <row r="53">
      <c r="B53" s="14" t="b">
        <v>1</v>
      </c>
      <c r="C53" s="14" t="inlineStr"/>
      <c r="D53" s="21" t="n"/>
      <c r="E53" s="14" t="inlineStr">
        <is>
          <t>CarMax</t>
        </is>
      </c>
      <c r="F53" s="14" t="inlineStr"/>
      <c r="G53" s="28" t="n">
        <v>2022</v>
      </c>
      <c r="H53" s="14" t="inlineStr">
        <is>
          <t>2.5 S Preferred Package</t>
        </is>
      </c>
      <c r="I53" s="30" t="n">
        <v>24927</v>
      </c>
      <c r="J53" s="22" t="n">
        <v>25998</v>
      </c>
      <c r="K53" s="14" t="inlineStr">
        <is>
          <t>CarMax Lithia Springs</t>
        </is>
      </c>
      <c r="L53" s="14" t="inlineStr">
        <is>
          <t>Lithia Springs</t>
        </is>
      </c>
      <c r="M53" s="14" t="inlineStr">
        <is>
          <t>GA</t>
        </is>
      </c>
      <c r="N53" s="14" t="inlineStr">
        <is>
          <t>JM3KFBCM4N0549216</t>
        </is>
      </c>
      <c r="O53" s="14" t="n"/>
      <c r="P53" s="22" t="n"/>
      <c r="Q53" s="22" t="n"/>
      <c r="R53" s="30" t="n"/>
      <c r="S53" s="14" t="n"/>
      <c r="T53" s="14" t="n"/>
      <c r="U53" s="14" t="n"/>
      <c r="V53" s="30" t="n"/>
      <c r="W53" s="30" t="n"/>
      <c r="X53" s="14" t="b">
        <v>1</v>
      </c>
      <c r="Y53" s="14" t="inlineStr">
        <is>
          <t>xfer $1999</t>
        </is>
      </c>
      <c r="Z53" s="38" t="inlineStr">
        <is>
          <t>open</t>
        </is>
      </c>
    </row>
    <row r="54">
      <c r="B54" s="14" t="b">
        <v>1</v>
      </c>
      <c r="C54" s="14" t="inlineStr"/>
      <c r="D54" s="21" t="n"/>
      <c r="E54" s="14" t="inlineStr">
        <is>
          <t>Craigslist</t>
        </is>
      </c>
      <c r="F54" s="14" t="inlineStr"/>
      <c r="G54" s="28" t="n">
        <v>2021</v>
      </c>
      <c r="H54" s="14" t="inlineStr">
        <is>
          <t>Touring</t>
        </is>
      </c>
      <c r="I54" s="30" t="n">
        <v>26000</v>
      </c>
      <c r="J54" s="22" t="n">
        <v>26471</v>
      </c>
      <c r="K54" s="14" t="n"/>
      <c r="L54" s="14" t="inlineStr">
        <is>
          <t>Mazda of Gladstone</t>
        </is>
      </c>
      <c r="M54" s="14" t="inlineStr"/>
      <c r="N54" s="14" t="n"/>
      <c r="O54" s="14" t="n"/>
      <c r="P54" s="22" t="n"/>
      <c r="Q54" s="22" t="n"/>
      <c r="R54" s="30" t="n"/>
      <c r="S54" s="14" t="n"/>
      <c r="T54" s="14" t="n"/>
      <c r="U54" s="14" t="n"/>
      <c r="V54" s="30" t="n"/>
      <c r="W54" s="30" t="n"/>
      <c r="X54" s="14" t="b">
        <v>1</v>
      </c>
      <c r="Y54" s="14" t="inlineStr"/>
      <c r="Z54" s="38" t="inlineStr">
        <is>
          <t>open</t>
        </is>
      </c>
    </row>
    <row r="55">
      <c r="B55" s="14" t="b">
        <v>1</v>
      </c>
      <c r="C55" s="14" t="inlineStr"/>
      <c r="D55" s="21" t="n"/>
      <c r="E55" s="14" t="inlineStr">
        <is>
          <t>AutoByTel</t>
        </is>
      </c>
      <c r="F55" s="14" t="inlineStr"/>
      <c r="G55" s="28" t="n">
        <v>2021</v>
      </c>
      <c r="H55" s="14" t="inlineStr">
        <is>
          <t>Touring</t>
        </is>
      </c>
      <c r="I55" s="30" t="n">
        <v>25727</v>
      </c>
      <c r="J55" s="22" t="n">
        <v>25999</v>
      </c>
      <c r="K55" s="14" t="inlineStr">
        <is>
          <t>Mazda Of Everett</t>
        </is>
      </c>
      <c r="L55" s="14" t="inlineStr">
        <is>
          <t>Everett</t>
        </is>
      </c>
      <c r="M55" s="14" t="inlineStr">
        <is>
          <t>WA</t>
        </is>
      </c>
      <c r="N55" s="14" t="inlineStr">
        <is>
          <t>JM3KFBCMXM0449698</t>
        </is>
      </c>
      <c r="O55" s="14" t="n"/>
      <c r="P55" s="22" t="n"/>
      <c r="Q55" s="22" t="n"/>
      <c r="R55" s="30" t="n"/>
      <c r="S55" s="14" t="n"/>
      <c r="T55" s="14" t="n"/>
      <c r="U55" s="14" t="n"/>
      <c r="V55" s="30" t="n"/>
      <c r="W55" s="30" t="n"/>
      <c r="X55" s="14" t="b">
        <v>1</v>
      </c>
      <c r="Y55" s="14" t="inlineStr"/>
      <c r="Z55" s="14" t="n"/>
    </row>
    <row r="56">
      <c r="B56" s="14" t="b">
        <v>1</v>
      </c>
      <c r="C56" s="14" t="inlineStr"/>
      <c r="D56" s="21" t="n"/>
      <c r="E56" s="14" t="inlineStr">
        <is>
          <t>CarMax</t>
        </is>
      </c>
      <c r="F56" s="14" t="inlineStr"/>
      <c r="G56" s="28" t="n">
        <v>2021</v>
      </c>
      <c r="H56" s="14" t="inlineStr">
        <is>
          <t>Grand Touring</t>
        </is>
      </c>
      <c r="I56" s="30" t="n">
        <v>26976</v>
      </c>
      <c r="J56" s="22" t="n">
        <v>26998</v>
      </c>
      <c r="K56" s="14" t="inlineStr">
        <is>
          <t>CarMax Frederick</t>
        </is>
      </c>
      <c r="L56" s="14" t="inlineStr">
        <is>
          <t>Frederick</t>
        </is>
      </c>
      <c r="M56" s="14" t="inlineStr">
        <is>
          <t>MD</t>
        </is>
      </c>
      <c r="N56" s="14" t="inlineStr">
        <is>
          <t>JM3KFBDM8M1480246</t>
        </is>
      </c>
      <c r="O56" s="14" t="n"/>
      <c r="P56" s="22" t="n"/>
      <c r="Q56" s="22" t="n"/>
      <c r="R56" s="30" t="n"/>
      <c r="S56" s="14" t="n"/>
      <c r="T56" s="14" t="n"/>
      <c r="U56" s="14" t="n"/>
      <c r="V56" s="30" t="n"/>
      <c r="W56" s="30" t="n"/>
      <c r="X56" s="14" t="b">
        <v>1</v>
      </c>
      <c r="Y56" s="14" t="inlineStr">
        <is>
          <t>xfer $1999</t>
        </is>
      </c>
      <c r="Z56" s="38" t="inlineStr">
        <is>
          <t>open</t>
        </is>
      </c>
    </row>
    <row r="57">
      <c r="B57" s="14" t="b">
        <v>1</v>
      </c>
      <c r="C57" s="14" t="inlineStr"/>
      <c r="D57" s="21" t="n"/>
      <c r="E57" s="14" t="inlineStr">
        <is>
          <t>iSeeCars</t>
        </is>
      </c>
      <c r="F57" s="14" t="inlineStr"/>
      <c r="G57" s="28" t="n">
        <v>2023</v>
      </c>
      <c r="H57" s="14" t="inlineStr">
        <is>
          <t>2.5 S Premium</t>
        </is>
      </c>
      <c r="I57" s="30" t="n">
        <v>27837</v>
      </c>
      <c r="J57" s="22" t="n">
        <v>27795</v>
      </c>
      <c r="K57" s="14" t="n"/>
      <c r="L57" s="14" t="inlineStr">
        <is>
          <t>Portland</t>
        </is>
      </c>
      <c r="M57" s="14" t="inlineStr">
        <is>
          <t>OR</t>
        </is>
      </c>
      <c r="N57" s="14" t="n"/>
      <c r="O57" s="14" t="n"/>
      <c r="P57" s="22" t="n"/>
      <c r="Q57" s="22" t="n"/>
      <c r="R57" s="30" t="n"/>
      <c r="S57" s="14" t="n"/>
      <c r="T57" s="14" t="n"/>
      <c r="U57" s="14" t="n"/>
      <c r="V57" s="30" t="n"/>
      <c r="W57" s="30" t="n"/>
      <c r="X57" s="14" t="b">
        <v>1</v>
      </c>
      <c r="Y57" s="14" t="inlineStr"/>
      <c r="Z57" s="14" t="n"/>
    </row>
    <row r="58">
      <c r="B58" s="14" t="b">
        <v>1</v>
      </c>
      <c r="C58" s="14" t="inlineStr"/>
      <c r="D58" s="21" t="n"/>
      <c r="E58" s="14" t="inlineStr">
        <is>
          <t>CarMax</t>
        </is>
      </c>
      <c r="F58" s="14" t="inlineStr"/>
      <c r="G58" s="28" t="n">
        <v>2023</v>
      </c>
      <c r="H58" s="14" t="inlineStr">
        <is>
          <t>2.5 S Preferred Package</t>
        </is>
      </c>
      <c r="I58" s="30" t="n">
        <v>27274</v>
      </c>
      <c r="J58" s="22" t="n">
        <v>26998</v>
      </c>
      <c r="K58" s="14" t="inlineStr">
        <is>
          <t>CarMax Roswell</t>
        </is>
      </c>
      <c r="L58" s="14" t="inlineStr">
        <is>
          <t>Roswell</t>
        </is>
      </c>
      <c r="M58" s="14" t="inlineStr">
        <is>
          <t>GA</t>
        </is>
      </c>
      <c r="N58" s="14" t="inlineStr">
        <is>
          <t>JM3KFBCM0P0248364</t>
        </is>
      </c>
      <c r="O58" s="14" t="n"/>
      <c r="P58" s="22" t="n"/>
      <c r="Q58" s="22" t="n"/>
      <c r="R58" s="30" t="n"/>
      <c r="S58" s="14" t="n"/>
      <c r="T58" s="14" t="n"/>
      <c r="U58" s="14" t="n"/>
      <c r="V58" s="30" t="n"/>
      <c r="W58" s="30" t="n"/>
      <c r="X58" s="14" t="b">
        <v>1</v>
      </c>
      <c r="Y58" s="14" t="inlineStr">
        <is>
          <t>xfer $1999</t>
        </is>
      </c>
      <c r="Z58" s="38" t="inlineStr">
        <is>
          <t>open</t>
        </is>
      </c>
    </row>
    <row r="59">
      <c r="B59" s="14" t="b">
        <v>1</v>
      </c>
      <c r="C59" s="14" t="inlineStr"/>
      <c r="D59" s="21" t="n"/>
      <c r="E59" s="14" t="inlineStr">
        <is>
          <t>CarMax</t>
        </is>
      </c>
      <c r="F59" s="14" t="inlineStr"/>
      <c r="G59" s="28" t="n">
        <v>2021</v>
      </c>
      <c r="H59" s="14" t="inlineStr">
        <is>
          <t>Grand Touring</t>
        </is>
      </c>
      <c r="I59" s="30" t="n">
        <v>27399</v>
      </c>
      <c r="J59" s="22" t="n">
        <v>26998</v>
      </c>
      <c r="K59" s="14" t="inlineStr">
        <is>
          <t>CarMax Dulles</t>
        </is>
      </c>
      <c r="L59" s="14" t="inlineStr">
        <is>
          <t>Sterling</t>
        </is>
      </c>
      <c r="M59" s="14" t="inlineStr">
        <is>
          <t>VA</t>
        </is>
      </c>
      <c r="N59" s="14" t="inlineStr">
        <is>
          <t>JM3KFBDM5M0372446</t>
        </is>
      </c>
      <c r="O59" s="14" t="n"/>
      <c r="P59" s="22" t="n"/>
      <c r="Q59" s="22" t="n"/>
      <c r="R59" s="30" t="n"/>
      <c r="S59" s="14" t="n"/>
      <c r="T59" s="14" t="n"/>
      <c r="U59" s="14" t="n"/>
      <c r="V59" s="30" t="n"/>
      <c r="W59" s="30" t="n"/>
      <c r="X59" s="14" t="b">
        <v>1</v>
      </c>
      <c r="Y59" s="14" t="inlineStr">
        <is>
          <t>Only available at</t>
        </is>
      </c>
      <c r="Z59" s="38" t="inlineStr">
        <is>
          <t>open</t>
        </is>
      </c>
    </row>
    <row r="60">
      <c r="B60" s="14" t="b">
        <v>1</v>
      </c>
      <c r="C60" s="14" t="inlineStr"/>
      <c r="D60" s="21" t="n"/>
      <c r="E60" s="14" t="inlineStr">
        <is>
          <t>CarMax</t>
        </is>
      </c>
      <c r="F60" s="14" t="inlineStr"/>
      <c r="G60" s="28" t="n">
        <v>2021</v>
      </c>
      <c r="H60" s="14" t="inlineStr">
        <is>
          <t>Carbon Edition</t>
        </is>
      </c>
      <c r="I60" s="30" t="n">
        <v>28627</v>
      </c>
      <c r="J60" s="22" t="n">
        <v>26998</v>
      </c>
      <c r="K60" s="14" t="inlineStr">
        <is>
          <t>CarMax Rochester</t>
        </is>
      </c>
      <c r="L60" s="14" t="inlineStr">
        <is>
          <t>Rochester</t>
        </is>
      </c>
      <c r="M60" s="14" t="inlineStr">
        <is>
          <t>NY</t>
        </is>
      </c>
      <c r="N60" s="14" t="inlineStr">
        <is>
          <t>JM3KFBCM4M0434114</t>
        </is>
      </c>
      <c r="O60" s="14" t="n"/>
      <c r="P60" s="22" t="n"/>
      <c r="Q60" s="22" t="n"/>
      <c r="R60" s="30" t="n"/>
      <c r="S60" s="14" t="n"/>
      <c r="T60" s="14" t="n"/>
      <c r="U60" s="14" t="n"/>
      <c r="V60" s="30" t="n"/>
      <c r="W60" s="30" t="n"/>
      <c r="X60" s="14" t="b">
        <v>1</v>
      </c>
      <c r="Y60" s="14" t="inlineStr">
        <is>
          <t>xfer $1999</t>
        </is>
      </c>
      <c r="Z60" s="38" t="inlineStr">
        <is>
          <t>open</t>
        </is>
      </c>
    </row>
    <row r="61">
      <c r="B61" s="14" t="b">
        <v>1</v>
      </c>
      <c r="C61" s="14" t="inlineStr"/>
      <c r="D61" s="21" t="n"/>
      <c r="E61" s="14" t="inlineStr">
        <is>
          <t>CarMax</t>
        </is>
      </c>
      <c r="F61" s="14" t="inlineStr"/>
      <c r="G61" s="28" t="n">
        <v>2022</v>
      </c>
      <c r="H61" s="14" t="inlineStr">
        <is>
          <t>2.5 S Premium Package</t>
        </is>
      </c>
      <c r="I61" s="30" t="n">
        <v>29010</v>
      </c>
      <c r="J61" s="22" t="n">
        <v>26998</v>
      </c>
      <c r="K61" s="14" t="inlineStr">
        <is>
          <t>CarMax Sacramento South</t>
        </is>
      </c>
      <c r="L61" s="14" t="inlineStr">
        <is>
          <t>Sacramento</t>
        </is>
      </c>
      <c r="M61" s="14" t="inlineStr">
        <is>
          <t>CA</t>
        </is>
      </c>
      <c r="N61" s="14" t="inlineStr">
        <is>
          <t>JM3KFBDM3N1522050</t>
        </is>
      </c>
      <c r="O61" s="14" t="n"/>
      <c r="P61" s="22" t="n"/>
      <c r="Q61" s="22" t="n"/>
      <c r="R61" s="30" t="n"/>
      <c r="S61" s="14" t="n"/>
      <c r="T61" s="14" t="n"/>
      <c r="U61" s="14" t="n"/>
      <c r="V61" s="30" t="n"/>
      <c r="W61" s="30" t="n"/>
      <c r="X61" s="14" t="b">
        <v>1</v>
      </c>
      <c r="Y61" s="14" t="inlineStr">
        <is>
          <t>xfer $199</t>
        </is>
      </c>
      <c r="Z61" s="38" t="inlineStr">
        <is>
          <t>open</t>
        </is>
      </c>
    </row>
    <row r="62">
      <c r="B62" s="14" t="b">
        <v>1</v>
      </c>
      <c r="C62" s="14" t="inlineStr"/>
      <c r="D62" s="21" t="n"/>
      <c r="E62" s="14" t="inlineStr">
        <is>
          <t>CarMax</t>
        </is>
      </c>
      <c r="F62" s="14" t="inlineStr"/>
      <c r="G62" s="28" t="n">
        <v>2022</v>
      </c>
      <c r="H62" s="14" t="inlineStr">
        <is>
          <t>2.5 S Premium Package</t>
        </is>
      </c>
      <c r="I62" s="30" t="n">
        <v>30159</v>
      </c>
      <c r="J62" s="22" t="n">
        <v>26998</v>
      </c>
      <c r="K62" s="14" t="inlineStr">
        <is>
          <t>CarMax Greenville</t>
        </is>
      </c>
      <c r="L62" s="14" t="inlineStr">
        <is>
          <t>Greenville</t>
        </is>
      </c>
      <c r="M62" s="14" t="inlineStr">
        <is>
          <t>SC</t>
        </is>
      </c>
      <c r="N62" s="14" t="inlineStr">
        <is>
          <t>JM3KFBDM3N1523862</t>
        </is>
      </c>
      <c r="O62" s="14" t="n"/>
      <c r="P62" s="22" t="n"/>
      <c r="Q62" s="22" t="n"/>
      <c r="R62" s="30" t="n"/>
      <c r="S62" s="14" t="n"/>
      <c r="T62" s="14" t="n"/>
      <c r="U62" s="14" t="n"/>
      <c r="V62" s="30" t="n"/>
      <c r="W62" s="30" t="n"/>
      <c r="X62" s="14" t="b">
        <v>1</v>
      </c>
      <c r="Y62" s="14" t="inlineStr">
        <is>
          <t>xfer $1999</t>
        </is>
      </c>
      <c r="Z62" s="38" t="inlineStr">
        <is>
          <t>open</t>
        </is>
      </c>
    </row>
    <row r="63">
      <c r="B63" s="14" t="b">
        <v>1</v>
      </c>
      <c r="C63" s="14" t="inlineStr"/>
      <c r="D63" s="21" t="n"/>
      <c r="E63" s="14" t="inlineStr">
        <is>
          <t>Craigslist</t>
        </is>
      </c>
      <c r="F63" s="14" t="inlineStr"/>
      <c r="G63" s="28" t="n">
        <v>2023</v>
      </c>
      <c r="H63" s="14" t="inlineStr">
        <is>
          <t>Preferred</t>
        </is>
      </c>
      <c r="I63" s="30" t="n">
        <v>30000</v>
      </c>
      <c r="J63" s="22" t="n">
        <v>26497</v>
      </c>
      <c r="K63" s="14" t="n"/>
      <c r="L63" s="14" t="inlineStr">
        <is>
          <t>Mazda of Gladstone</t>
        </is>
      </c>
      <c r="M63" s="14" t="inlineStr"/>
      <c r="N63" s="14" t="n"/>
      <c r="O63" s="14" t="n"/>
      <c r="P63" s="22" t="n"/>
      <c r="Q63" s="22" t="n"/>
      <c r="R63" s="30" t="n"/>
      <c r="S63" s="14" t="n"/>
      <c r="T63" s="14" t="n"/>
      <c r="U63" s="14" t="n"/>
      <c r="V63" s="30" t="n"/>
      <c r="W63" s="30" t="n"/>
      <c r="X63" s="14" t="b">
        <v>1</v>
      </c>
      <c r="Y63" s="14" t="inlineStr"/>
      <c r="Z63" s="38" t="inlineStr">
        <is>
          <t>open</t>
        </is>
      </c>
    </row>
    <row r="64">
      <c r="B64" s="14" t="b">
        <v>1</v>
      </c>
      <c r="C64" s="14" t="inlineStr"/>
      <c r="D64" s="21" t="n"/>
      <c r="E64" s="14" t="inlineStr">
        <is>
          <t>Craigslist</t>
        </is>
      </c>
      <c r="F64" s="14" t="inlineStr"/>
      <c r="G64" s="28" t="n">
        <v>2023</v>
      </c>
      <c r="H64" s="14" t="inlineStr">
        <is>
          <t>Preferred</t>
        </is>
      </c>
      <c r="I64" s="30" t="n">
        <v>30000</v>
      </c>
      <c r="J64" s="22" t="n">
        <v>26497</v>
      </c>
      <c r="K64" s="14" t="n"/>
      <c r="L64" s="14" t="inlineStr">
        <is>
          <t>Mazda of Gladstone</t>
        </is>
      </c>
      <c r="M64" s="14" t="inlineStr"/>
      <c r="N64" s="14" t="n"/>
      <c r="O64" s="14" t="n"/>
      <c r="P64" s="22" t="n"/>
      <c r="Q64" s="22" t="n"/>
      <c r="R64" s="30" t="n"/>
      <c r="S64" s="14" t="n"/>
      <c r="T64" s="14" t="n"/>
      <c r="U64" s="14" t="n"/>
      <c r="V64" s="30" t="n"/>
      <c r="W64" s="30" t="n"/>
      <c r="X64" s="14" t="b">
        <v>1</v>
      </c>
      <c r="Y64" s="14" t="inlineStr"/>
      <c r="Z64" s="38" t="inlineStr">
        <is>
          <t>open</t>
        </is>
      </c>
    </row>
    <row r="65">
      <c r="B65" s="14" t="b">
        <v>1</v>
      </c>
      <c r="C65" s="14" t="inlineStr"/>
      <c r="D65" s="21" t="n"/>
      <c r="E65" s="14" t="inlineStr">
        <is>
          <t>CarMax</t>
        </is>
      </c>
      <c r="F65" s="14" t="inlineStr"/>
      <c r="G65" s="28" t="n">
        <v>2021</v>
      </c>
      <c r="H65" s="14" t="inlineStr">
        <is>
          <t>Grand Touring</t>
        </is>
      </c>
      <c r="I65" s="30" t="n">
        <v>29497</v>
      </c>
      <c r="J65" s="22" t="n">
        <v>25998</v>
      </c>
      <c r="K65" s="14" t="inlineStr">
        <is>
          <t>CarMax Ocala</t>
        </is>
      </c>
      <c r="L65" s="14" t="inlineStr">
        <is>
          <t>Ocala</t>
        </is>
      </c>
      <c r="M65" s="14" t="inlineStr">
        <is>
          <t>FL</t>
        </is>
      </c>
      <c r="N65" s="14" t="inlineStr">
        <is>
          <t>JM3KFADM7M1303696</t>
        </is>
      </c>
      <c r="O65" s="14" t="n"/>
      <c r="P65" s="22" t="n"/>
      <c r="Q65" s="22" t="n"/>
      <c r="R65" s="30" t="n"/>
      <c r="S65" s="14" t="n"/>
      <c r="T65" s="14" t="n"/>
      <c r="U65" s="14" t="n"/>
      <c r="V65" s="30" t="n"/>
      <c r="W65" s="30" t="n"/>
      <c r="X65" s="14" t="b">
        <v>1</v>
      </c>
      <c r="Y65" s="14" t="inlineStr">
        <is>
          <t>xfer $1999</t>
        </is>
      </c>
      <c r="Z65" s="38" t="inlineStr">
        <is>
          <t>open</t>
        </is>
      </c>
    </row>
    <row r="66">
      <c r="B66" s="14" t="b">
        <v>1</v>
      </c>
      <c r="C66" s="14" t="inlineStr"/>
      <c r="D66" s="21" t="n"/>
      <c r="E66" s="14" t="inlineStr">
        <is>
          <t>CarMax</t>
        </is>
      </c>
      <c r="F66" s="14" t="inlineStr"/>
      <c r="G66" s="28" t="n">
        <v>2023</v>
      </c>
      <c r="H66" s="14" t="inlineStr">
        <is>
          <t>Carbon Edition</t>
        </is>
      </c>
      <c r="I66" s="30" t="n">
        <v>31208</v>
      </c>
      <c r="J66" s="22" t="n">
        <v>26998</v>
      </c>
      <c r="K66" s="14" t="inlineStr">
        <is>
          <t>CarMax Modesto</t>
        </is>
      </c>
      <c r="L66" s="14" t="inlineStr">
        <is>
          <t>Modesto</t>
        </is>
      </c>
      <c r="M66" s="14" t="inlineStr">
        <is>
          <t>CA</t>
        </is>
      </c>
      <c r="N66" s="14" t="inlineStr">
        <is>
          <t>JM3KFBCM3P0197006</t>
        </is>
      </c>
      <c r="O66" s="14" t="n"/>
      <c r="P66" s="22" t="n"/>
      <c r="Q66" s="22" t="n"/>
      <c r="R66" s="30" t="n"/>
      <c r="S66" s="14" t="n"/>
      <c r="T66" s="14" t="n"/>
      <c r="U66" s="14" t="n"/>
      <c r="V66" s="30" t="n"/>
      <c r="W66" s="30" t="n"/>
      <c r="X66" s="14" t="b">
        <v>1</v>
      </c>
      <c r="Y66" s="14" t="inlineStr">
        <is>
          <t>xfer $199</t>
        </is>
      </c>
      <c r="Z66" s="38" t="inlineStr">
        <is>
          <t>open</t>
        </is>
      </c>
    </row>
    <row r="67">
      <c r="B67" s="14" t="b">
        <v>1</v>
      </c>
      <c r="C67" s="14" t="inlineStr"/>
      <c r="D67" s="21" t="n"/>
      <c r="E67" s="14" t="inlineStr">
        <is>
          <t>CarMax</t>
        </is>
      </c>
      <c r="F67" s="14" t="inlineStr"/>
      <c r="G67" s="28" t="n">
        <v>2023</v>
      </c>
      <c r="H67" s="14" t="inlineStr">
        <is>
          <t>2.5 S Preferred Package</t>
        </is>
      </c>
      <c r="I67" s="30" t="n">
        <v>31830</v>
      </c>
      <c r="J67" s="22" t="n">
        <v>26998</v>
      </c>
      <c r="K67" s="14" t="inlineStr">
        <is>
          <t>CarMax Tallahassee</t>
        </is>
      </c>
      <c r="L67" s="14" t="inlineStr">
        <is>
          <t>Tallahassee</t>
        </is>
      </c>
      <c r="M67" s="14" t="inlineStr">
        <is>
          <t>FL</t>
        </is>
      </c>
      <c r="N67" s="14" t="inlineStr">
        <is>
          <t>JM3KFBCM9P0264756</t>
        </is>
      </c>
      <c r="O67" s="14" t="n"/>
      <c r="P67" s="22" t="n"/>
      <c r="Q67" s="22" t="n"/>
      <c r="R67" s="30" t="n"/>
      <c r="S67" s="14" t="n"/>
      <c r="T67" s="14" t="n"/>
      <c r="U67" s="14" t="n"/>
      <c r="V67" s="30" t="n"/>
      <c r="W67" s="30" t="n"/>
      <c r="X67" s="14" t="b">
        <v>1</v>
      </c>
      <c r="Y67" s="14" t="inlineStr">
        <is>
          <t>xfer $1999</t>
        </is>
      </c>
      <c r="Z67" s="38" t="inlineStr">
        <is>
          <t>open</t>
        </is>
      </c>
    </row>
    <row r="68">
      <c r="B68" s="14" t="b">
        <v>1</v>
      </c>
      <c r="C68" s="14" t="inlineStr"/>
      <c r="D68" s="21" t="n"/>
      <c r="E68" s="14" t="inlineStr">
        <is>
          <t>CarSoup</t>
        </is>
      </c>
      <c r="F68" s="14" t="inlineStr"/>
      <c r="G68" s="28" t="n">
        <v>2022</v>
      </c>
      <c r="H68" s="14" t="inlineStr">
        <is>
          <t>25 S Carbon Edition</t>
        </is>
      </c>
      <c r="I68" s="30" t="n">
        <v>32175</v>
      </c>
      <c r="J68" s="22" t="n">
        <v>26840</v>
      </c>
      <c r="K68" s="14" t="inlineStr">
        <is>
          <t>Luther Burnsville Hyundai</t>
        </is>
      </c>
      <c r="L68" s="14" t="inlineStr">
        <is>
          <t>Burnsville</t>
        </is>
      </c>
      <c r="M68" s="14" t="inlineStr">
        <is>
          <t>MN</t>
        </is>
      </c>
      <c r="N68" s="14" t="inlineStr">
        <is>
          <t>JM3KFBCM2N0527067</t>
        </is>
      </c>
      <c r="O68" s="14" t="n"/>
      <c r="P68" s="22" t="n"/>
      <c r="Q68" s="22" t="n"/>
      <c r="R68" s="30" t="n"/>
      <c r="S68" s="14" t="n"/>
      <c r="T68" s="14" t="n"/>
      <c r="U68" s="14" t="n"/>
      <c r="V68" s="30" t="n"/>
      <c r="W68" s="30" t="n"/>
      <c r="X68" s="14" t="b">
        <v>1</v>
      </c>
      <c r="Y68" s="14" t="inlineStr"/>
      <c r="Z68" s="14" t="n"/>
    </row>
    <row r="69">
      <c r="B69" s="14" t="b">
        <v>1</v>
      </c>
      <c r="C69" s="14" t="inlineStr"/>
      <c r="D69" s="21" t="n"/>
      <c r="E69" s="14" t="inlineStr">
        <is>
          <t>CarMax</t>
        </is>
      </c>
      <c r="F69" s="14" t="inlineStr">
        <is>
          <t>iSeeCars</t>
        </is>
      </c>
      <c r="G69" s="28" t="n">
        <v>2021</v>
      </c>
      <c r="H69" s="14" t="inlineStr">
        <is>
          <t>Grand Touring</t>
        </is>
      </c>
      <c r="I69" s="30" t="n">
        <v>33620</v>
      </c>
      <c r="J69" s="22" t="n">
        <v>26998</v>
      </c>
      <c r="K69" s="14" t="inlineStr">
        <is>
          <t>CarMax Centennial</t>
        </is>
      </c>
      <c r="L69" s="14" t="inlineStr">
        <is>
          <t>Las Vegas</t>
        </is>
      </c>
      <c r="M69" s="14" t="inlineStr">
        <is>
          <t>NV</t>
        </is>
      </c>
      <c r="N69" s="14" t="inlineStr">
        <is>
          <t>JM3KFBDM8M0498400</t>
        </is>
      </c>
      <c r="O69" s="14" t="n"/>
      <c r="P69" s="22" t="n"/>
      <c r="Q69" s="22" t="n"/>
      <c r="R69" s="30" t="n"/>
      <c r="S69" s="14" t="n"/>
      <c r="T69" s="14" t="n"/>
      <c r="U69" s="14" t="n"/>
      <c r="V69" s="30" t="n"/>
      <c r="W69" s="30" t="n"/>
      <c r="X69" s="14" t="b">
        <v>1</v>
      </c>
      <c r="Y69" s="14" t="inlineStr">
        <is>
          <t>xfer $699</t>
        </is>
      </c>
      <c r="Z69" s="38" t="inlineStr">
        <is>
          <t>open</t>
        </is>
      </c>
    </row>
    <row r="70">
      <c r="B70" s="14" t="b">
        <v>1</v>
      </c>
      <c r="C70" s="14" t="inlineStr"/>
      <c r="D70" s="21" t="n"/>
      <c r="E70" s="14" t="inlineStr">
        <is>
          <t>CarMax</t>
        </is>
      </c>
      <c r="F70" s="14" t="inlineStr"/>
      <c r="G70" s="28" t="n">
        <v>2022</v>
      </c>
      <c r="H70" s="14" t="inlineStr">
        <is>
          <t>2.5 S Preferred Package</t>
        </is>
      </c>
      <c r="I70" s="30" t="n">
        <v>32492</v>
      </c>
      <c r="J70" s="22" t="n">
        <v>25998</v>
      </c>
      <c r="K70" s="14" t="inlineStr">
        <is>
          <t>CarMax Charleston</t>
        </is>
      </c>
      <c r="L70" s="14" t="inlineStr">
        <is>
          <t>Charleston</t>
        </is>
      </c>
      <c r="M70" s="14" t="inlineStr">
        <is>
          <t>SC</t>
        </is>
      </c>
      <c r="N70" s="14" t="inlineStr">
        <is>
          <t>JM3KFBCM1N1572740</t>
        </is>
      </c>
      <c r="O70" s="14" t="n"/>
      <c r="P70" s="22" t="n"/>
      <c r="Q70" s="22" t="n"/>
      <c r="R70" s="30" t="n"/>
      <c r="S70" s="14" t="n"/>
      <c r="T70" s="14" t="n"/>
      <c r="U70" s="14" t="n"/>
      <c r="V70" s="30" t="n"/>
      <c r="W70" s="30" t="n"/>
      <c r="X70" s="14" t="b">
        <v>1</v>
      </c>
      <c r="Y70" s="14" t="inlineStr">
        <is>
          <t>xfer $1999</t>
        </is>
      </c>
      <c r="Z70" s="38" t="inlineStr">
        <is>
          <t>open</t>
        </is>
      </c>
    </row>
    <row r="71">
      <c r="B71" s="14" t="b">
        <v>1</v>
      </c>
      <c r="C71" s="14" t="inlineStr"/>
      <c r="D71" s="21" t="n"/>
      <c r="E71" s="14" t="inlineStr">
        <is>
          <t>CarMax</t>
        </is>
      </c>
      <c r="F71" s="14" t="inlineStr"/>
      <c r="G71" s="28" t="n">
        <v>2022</v>
      </c>
      <c r="H71" s="14" t="inlineStr">
        <is>
          <t>2.5 S Preferred Package</t>
        </is>
      </c>
      <c r="I71" s="30" t="n">
        <v>34078</v>
      </c>
      <c r="J71" s="22" t="n">
        <v>26998</v>
      </c>
      <c r="K71" s="14" t="inlineStr">
        <is>
          <t>CarMax Garland</t>
        </is>
      </c>
      <c r="L71" s="14" t="inlineStr">
        <is>
          <t>Garland</t>
        </is>
      </c>
      <c r="M71" s="14" t="inlineStr">
        <is>
          <t>TX</t>
        </is>
      </c>
      <c r="N71" s="14" t="inlineStr">
        <is>
          <t>JM3KFBCM2N1571712</t>
        </is>
      </c>
      <c r="O71" s="14" t="n"/>
      <c r="P71" s="22" t="n"/>
      <c r="Q71" s="22" t="n"/>
      <c r="R71" s="30" t="n"/>
      <c r="S71" s="14" t="n"/>
      <c r="T71" s="14" t="n"/>
      <c r="U71" s="14" t="n"/>
      <c r="V71" s="30" t="n"/>
      <c r="W71" s="30" t="n"/>
      <c r="X71" s="14" t="b">
        <v>1</v>
      </c>
      <c r="Y71" s="14" t="inlineStr">
        <is>
          <t>xfer $1799</t>
        </is>
      </c>
      <c r="Z71" s="38" t="inlineStr">
        <is>
          <t>open</t>
        </is>
      </c>
    </row>
    <row r="72">
      <c r="B72" s="14" t="b">
        <v>1</v>
      </c>
      <c r="C72" s="14" t="inlineStr"/>
      <c r="D72" s="21" t="n"/>
      <c r="E72" s="14" t="inlineStr">
        <is>
          <t>TrueCar</t>
        </is>
      </c>
      <c r="F72" s="14" t="inlineStr"/>
      <c r="G72" s="28" t="n">
        <v>2023</v>
      </c>
      <c r="H72" s="14" t="inlineStr">
        <is>
          <t>2.5 S Premium</t>
        </is>
      </c>
      <c r="I72" s="30" t="n">
        <v>35913</v>
      </c>
      <c r="J72" s="22" t="n">
        <v>28299</v>
      </c>
      <c r="K72" s="14" t="inlineStr">
        <is>
          <t>Walkers Renton Mazda</t>
        </is>
      </c>
      <c r="L72" s="14" t="inlineStr">
        <is>
          <t>Renton</t>
        </is>
      </c>
      <c r="M72" s="14" t="inlineStr">
        <is>
          <t>WA</t>
        </is>
      </c>
      <c r="N72" s="14" t="inlineStr">
        <is>
          <t>JM3KFBDM8P0179342</t>
        </is>
      </c>
      <c r="O72" s="14" t="n"/>
      <c r="P72" s="22" t="n"/>
      <c r="Q72" s="22" t="n"/>
      <c r="R72" s="30" t="n"/>
      <c r="S72" s="14" t="n"/>
      <c r="T72" s="14" t="n"/>
      <c r="U72" s="14" t="n"/>
      <c r="V72" s="30" t="n"/>
      <c r="W72" s="30" t="n"/>
      <c r="X72" s="14" t="b">
        <v>1</v>
      </c>
      <c r="Y72" s="14" t="inlineStr"/>
      <c r="Z72" s="38" t="inlineStr">
        <is>
          <t>open</t>
        </is>
      </c>
    </row>
    <row r="73">
      <c r="B73" s="14" t="b">
        <v>1</v>
      </c>
      <c r="C73" s="14" t="inlineStr"/>
      <c r="D73" s="21" t="n"/>
      <c r="E73" s="14" t="inlineStr">
        <is>
          <t>CarMax</t>
        </is>
      </c>
      <c r="F73" s="14" t="inlineStr"/>
      <c r="G73" s="28" t="n">
        <v>2021</v>
      </c>
      <c r="H73" s="14" t="inlineStr">
        <is>
          <t>Carbon Edition Turbo</t>
        </is>
      </c>
      <c r="I73" s="30" t="n">
        <v>33590</v>
      </c>
      <c r="J73" s="22" t="n">
        <v>25998</v>
      </c>
      <c r="K73" s="14" t="inlineStr">
        <is>
          <t>CarMax Albuquerque</t>
        </is>
      </c>
      <c r="L73" s="14" t="inlineStr">
        <is>
          <t>Albuquerque</t>
        </is>
      </c>
      <c r="M73" s="14" t="inlineStr">
        <is>
          <t>NM</t>
        </is>
      </c>
      <c r="N73" s="14" t="inlineStr">
        <is>
          <t>JM3KFACY1M0414366</t>
        </is>
      </c>
      <c r="O73" s="14" t="n"/>
      <c r="P73" s="22" t="n"/>
      <c r="Q73" s="22" t="n"/>
      <c r="R73" s="30" t="n"/>
      <c r="S73" s="14" t="n"/>
      <c r="T73" s="14" t="n"/>
      <c r="U73" s="14" t="n"/>
      <c r="V73" s="30" t="n"/>
      <c r="W73" s="30" t="n"/>
      <c r="X73" s="14" t="b">
        <v>1</v>
      </c>
      <c r="Y73" s="14" t="inlineStr">
        <is>
          <t>xfer $1199</t>
        </is>
      </c>
      <c r="Z73" s="38" t="inlineStr">
        <is>
          <t>open</t>
        </is>
      </c>
    </row>
    <row r="74">
      <c r="B74" s="14" t="b">
        <v>1</v>
      </c>
      <c r="C74" s="14" t="inlineStr"/>
      <c r="D74" s="21" t="n"/>
      <c r="E74" s="14" t="inlineStr">
        <is>
          <t>CarMax</t>
        </is>
      </c>
      <c r="F74" s="14" t="inlineStr"/>
      <c r="G74" s="28" t="n">
        <v>2021</v>
      </c>
      <c r="H74" s="14" t="inlineStr">
        <is>
          <t>Touring</t>
        </is>
      </c>
      <c r="I74" s="30" t="n">
        <v>32385</v>
      </c>
      <c r="J74" s="22" t="n">
        <v>24998</v>
      </c>
      <c r="K74" s="14" t="inlineStr">
        <is>
          <t>CarMax Fremont</t>
        </is>
      </c>
      <c r="L74" s="14" t="inlineStr">
        <is>
          <t>Fremont</t>
        </is>
      </c>
      <c r="M74" s="14" t="inlineStr">
        <is>
          <t>CA</t>
        </is>
      </c>
      <c r="N74" s="14" t="inlineStr">
        <is>
          <t>JM3KFBCMXM0388160</t>
        </is>
      </c>
      <c r="O74" s="14" t="n"/>
      <c r="P74" s="22" t="n"/>
      <c r="Q74" s="22" t="n"/>
      <c r="R74" s="30" t="n"/>
      <c r="S74" s="14" t="n"/>
      <c r="T74" s="14" t="n"/>
      <c r="U74" s="14" t="n"/>
      <c r="V74" s="30" t="n"/>
      <c r="W74" s="30" t="n"/>
      <c r="X74" s="14" t="b">
        <v>1</v>
      </c>
      <c r="Y74" s="14" t="inlineStr">
        <is>
          <t>xfer $449</t>
        </is>
      </c>
      <c r="Z74" s="38" t="inlineStr">
        <is>
          <t>open</t>
        </is>
      </c>
    </row>
    <row r="75">
      <c r="B75" s="14" t="b">
        <v>1</v>
      </c>
      <c r="C75" s="14" t="inlineStr"/>
      <c r="D75" s="21" t="n"/>
      <c r="E75" s="14" t="inlineStr">
        <is>
          <t>CarMax</t>
        </is>
      </c>
      <c r="F75" s="14" t="inlineStr"/>
      <c r="G75" s="28" t="n">
        <v>2022</v>
      </c>
      <c r="H75" s="14" t="inlineStr">
        <is>
          <t>Carbon Edition</t>
        </is>
      </c>
      <c r="I75" s="30" t="n">
        <v>35115</v>
      </c>
      <c r="J75" s="22" t="n">
        <v>26998</v>
      </c>
      <c r="K75" s="14" t="inlineStr">
        <is>
          <t>CarMax Midlothian</t>
        </is>
      </c>
      <c r="L75" s="14" t="inlineStr">
        <is>
          <t>Midlothian</t>
        </is>
      </c>
      <c r="M75" s="14" t="inlineStr">
        <is>
          <t>VA</t>
        </is>
      </c>
      <c r="N75" s="14" t="inlineStr">
        <is>
          <t>JM3KFBCM0N0630228</t>
        </is>
      </c>
      <c r="O75" s="14" t="n"/>
      <c r="P75" s="22" t="n"/>
      <c r="Q75" s="22" t="n"/>
      <c r="R75" s="30" t="n"/>
      <c r="S75" s="14" t="n"/>
      <c r="T75" s="14" t="n"/>
      <c r="U75" s="14" t="n"/>
      <c r="V75" s="30" t="n"/>
      <c r="W75" s="30" t="n"/>
      <c r="X75" s="14" t="b">
        <v>1</v>
      </c>
      <c r="Y75" s="14" t="inlineStr">
        <is>
          <t>xfer $1999</t>
        </is>
      </c>
      <c r="Z75" s="38" t="inlineStr">
        <is>
          <t>open</t>
        </is>
      </c>
    </row>
    <row r="76">
      <c r="B76" s="14" t="b">
        <v>1</v>
      </c>
      <c r="C76" s="14" t="inlineStr"/>
      <c r="D76" s="21" t="n"/>
      <c r="E76" s="14" t="inlineStr">
        <is>
          <t>CarMax</t>
        </is>
      </c>
      <c r="F76" s="14" t="inlineStr"/>
      <c r="G76" s="28" t="n">
        <v>2023</v>
      </c>
      <c r="H76" s="14" t="inlineStr">
        <is>
          <t>2.5 S Preferred Package</t>
        </is>
      </c>
      <c r="I76" s="30" t="n">
        <v>34250</v>
      </c>
      <c r="J76" s="22" t="n">
        <v>25998</v>
      </c>
      <c r="K76" s="14" t="inlineStr">
        <is>
          <t>CarMax Austin North</t>
        </is>
      </c>
      <c r="L76" s="14" t="inlineStr">
        <is>
          <t>Austin</t>
        </is>
      </c>
      <c r="M76" s="14" t="inlineStr">
        <is>
          <t>TX</t>
        </is>
      </c>
      <c r="N76" s="14" t="inlineStr">
        <is>
          <t>JM3KFBCM5P0239904</t>
        </is>
      </c>
      <c r="O76" s="14" t="n"/>
      <c r="P76" s="22" t="n"/>
      <c r="Q76" s="22" t="n"/>
      <c r="R76" s="30" t="n"/>
      <c r="S76" s="14" t="n"/>
      <c r="T76" s="14" t="n"/>
      <c r="U76" s="14" t="n"/>
      <c r="V76" s="30" t="n"/>
      <c r="W76" s="30" t="n"/>
      <c r="X76" s="14" t="b">
        <v>1</v>
      </c>
      <c r="Y76" s="14" t="inlineStr">
        <is>
          <t>xfer $1699</t>
        </is>
      </c>
      <c r="Z76" s="38" t="inlineStr">
        <is>
          <t>open</t>
        </is>
      </c>
    </row>
    <row r="77">
      <c r="B77" s="14" t="b">
        <v>1</v>
      </c>
      <c r="C77" s="14" t="inlineStr"/>
      <c r="D77" s="21" t="n"/>
      <c r="E77" s="14" t="inlineStr">
        <is>
          <t>CarMax</t>
        </is>
      </c>
      <c r="F77" s="14" t="inlineStr"/>
      <c r="G77" s="28" t="n">
        <v>2021</v>
      </c>
      <c r="H77" s="14" t="inlineStr">
        <is>
          <t>Grand Touring</t>
        </is>
      </c>
      <c r="I77" s="30" t="n">
        <v>35518</v>
      </c>
      <c r="J77" s="22" t="n">
        <v>25998</v>
      </c>
      <c r="K77" s="14" t="inlineStr">
        <is>
          <t>CarMax Fremont</t>
        </is>
      </c>
      <c r="L77" s="14" t="inlineStr">
        <is>
          <t>Fremont</t>
        </is>
      </c>
      <c r="M77" s="14" t="inlineStr">
        <is>
          <t>CA</t>
        </is>
      </c>
      <c r="N77" s="14" t="inlineStr">
        <is>
          <t>JM3KFBDM0M0322005</t>
        </is>
      </c>
      <c r="O77" s="14" t="n"/>
      <c r="P77" s="22" t="n"/>
      <c r="Q77" s="22" t="n"/>
      <c r="R77" s="30" t="n"/>
      <c r="S77" s="14" t="n"/>
      <c r="T77" s="14" t="n"/>
      <c r="U77" s="14" t="n"/>
      <c r="V77" s="30" t="n"/>
      <c r="W77" s="30" t="n"/>
      <c r="X77" s="14" t="b">
        <v>1</v>
      </c>
      <c r="Y77" s="14" t="inlineStr">
        <is>
          <t>xfer $449</t>
        </is>
      </c>
      <c r="Z77" s="38" t="inlineStr">
        <is>
          <t>open</t>
        </is>
      </c>
    </row>
    <row r="78">
      <c r="B78" s="14" t="b">
        <v>1</v>
      </c>
      <c r="C78" s="14" t="inlineStr"/>
      <c r="D78" s="21" t="n"/>
      <c r="E78" s="14" t="inlineStr">
        <is>
          <t>CarMax</t>
        </is>
      </c>
      <c r="F78" s="14" t="inlineStr"/>
      <c r="G78" s="28" t="n">
        <v>2023</v>
      </c>
      <c r="H78" s="14" t="inlineStr">
        <is>
          <t>2.5 S Premium Package</t>
        </is>
      </c>
      <c r="I78" s="30" t="n">
        <v>37634</v>
      </c>
      <c r="J78" s="22" t="n">
        <v>26998</v>
      </c>
      <c r="K78" s="14" t="inlineStr">
        <is>
          <t>CarMax Palmdale</t>
        </is>
      </c>
      <c r="L78" s="14" t="inlineStr">
        <is>
          <t>Palmdale</t>
        </is>
      </c>
      <c r="M78" s="14" t="inlineStr">
        <is>
          <t>CA</t>
        </is>
      </c>
      <c r="N78" s="14" t="inlineStr">
        <is>
          <t>JM3KFBEM9P0132027</t>
        </is>
      </c>
      <c r="O78" s="14" t="n"/>
      <c r="P78" s="22" t="n"/>
      <c r="Q78" s="22" t="n"/>
      <c r="R78" s="30" t="n"/>
      <c r="S78" s="14" t="n"/>
      <c r="T78" s="14" t="n"/>
      <c r="U78" s="14" t="n"/>
      <c r="V78" s="30" t="n"/>
      <c r="W78" s="30" t="n"/>
      <c r="X78" s="14" t="b">
        <v>1</v>
      </c>
      <c r="Y78" s="14" t="inlineStr">
        <is>
          <t>xfer $699</t>
        </is>
      </c>
      <c r="Z78" s="38" t="inlineStr">
        <is>
          <t>open</t>
        </is>
      </c>
    </row>
    <row r="79">
      <c r="B79" s="14" t="b">
        <v>1</v>
      </c>
      <c r="C79" s="14" t="inlineStr"/>
      <c r="D79" s="21" t="n"/>
      <c r="E79" s="14" t="inlineStr">
        <is>
          <t>CarMax</t>
        </is>
      </c>
      <c r="F79" s="14" t="inlineStr"/>
      <c r="G79" s="28" t="n">
        <v>2021</v>
      </c>
      <c r="H79" s="14" t="inlineStr">
        <is>
          <t>Touring</t>
        </is>
      </c>
      <c r="I79" s="30" t="n">
        <v>37493</v>
      </c>
      <c r="J79" s="22" t="n">
        <v>25998</v>
      </c>
      <c r="K79" s="14" t="inlineStr">
        <is>
          <t>CarMax Phoenix-Gilbert</t>
        </is>
      </c>
      <c r="L79" s="14" t="inlineStr">
        <is>
          <t>Gilbert</t>
        </is>
      </c>
      <c r="M79" s="14" t="inlineStr">
        <is>
          <t>AZ</t>
        </is>
      </c>
      <c r="N79" s="14" t="inlineStr">
        <is>
          <t>JM3KFACM6M0335482</t>
        </is>
      </c>
      <c r="O79" s="14" t="n"/>
      <c r="P79" s="22" t="n"/>
      <c r="Q79" s="22" t="n"/>
      <c r="R79" s="30" t="n"/>
      <c r="S79" s="14" t="n"/>
      <c r="T79" s="14" t="n"/>
      <c r="U79" s="14" t="n"/>
      <c r="V79" s="30" t="n"/>
      <c r="W79" s="30" t="n"/>
      <c r="X79" s="14" t="b">
        <v>1</v>
      </c>
      <c r="Y79" s="14" t="inlineStr">
        <is>
          <t>xfer $999</t>
        </is>
      </c>
      <c r="Z79" s="38" t="inlineStr">
        <is>
          <t>open</t>
        </is>
      </c>
    </row>
    <row r="80">
      <c r="B80" s="14" t="b">
        <v>1</v>
      </c>
      <c r="C80" s="14" t="inlineStr"/>
      <c r="D80" s="21" t="n"/>
      <c r="E80" s="14" t="inlineStr">
        <is>
          <t>CarMax</t>
        </is>
      </c>
      <c r="F80" s="14" t="inlineStr"/>
      <c r="G80" s="28" t="n">
        <v>2021</v>
      </c>
      <c r="H80" s="14" t="inlineStr">
        <is>
          <t>Signature</t>
        </is>
      </c>
      <c r="I80" s="30" t="n">
        <v>39377</v>
      </c>
      <c r="J80" s="22" t="n">
        <v>26998</v>
      </c>
      <c r="K80" s="14" t="inlineStr">
        <is>
          <t>CarMax West Broad</t>
        </is>
      </c>
      <c r="L80" s="14" t="inlineStr">
        <is>
          <t>Glen Allen</t>
        </is>
      </c>
      <c r="M80" s="14" t="inlineStr">
        <is>
          <t>VA</t>
        </is>
      </c>
      <c r="N80" s="14" t="inlineStr">
        <is>
          <t>JM3KFBEY1M0361784</t>
        </is>
      </c>
      <c r="O80" s="14" t="n"/>
      <c r="P80" s="22" t="n"/>
      <c r="Q80" s="22" t="n"/>
      <c r="R80" s="30" t="n"/>
      <c r="S80" s="14" t="n"/>
      <c r="T80" s="14" t="n"/>
      <c r="U80" s="14" t="n"/>
      <c r="V80" s="30" t="n"/>
      <c r="W80" s="30" t="n"/>
      <c r="X80" s="14" t="b">
        <v>1</v>
      </c>
      <c r="Y80" s="14" t="inlineStr">
        <is>
          <t>xfer $1999</t>
        </is>
      </c>
      <c r="Z80" s="38" t="inlineStr">
        <is>
          <t>open</t>
        </is>
      </c>
    </row>
    <row r="81">
      <c r="B81" s="14" t="b">
        <v>1</v>
      </c>
      <c r="C81" s="14" t="inlineStr"/>
      <c r="D81" s="21" t="n"/>
      <c r="E81" s="14" t="inlineStr">
        <is>
          <t>CarMax</t>
        </is>
      </c>
      <c r="F81" s="14" t="inlineStr"/>
      <c r="G81" s="28" t="n">
        <v>2021</v>
      </c>
      <c r="H81" s="14" t="inlineStr">
        <is>
          <t>Grand Touring</t>
        </is>
      </c>
      <c r="I81" s="30" t="n">
        <v>36473</v>
      </c>
      <c r="J81" s="22" t="n">
        <v>24998</v>
      </c>
      <c r="K81" s="14" t="inlineStr">
        <is>
          <t>CarMax Hulen Mall</t>
        </is>
      </c>
      <c r="L81" s="14" t="inlineStr">
        <is>
          <t>Fort Worth</t>
        </is>
      </c>
      <c r="M81" s="14" t="inlineStr">
        <is>
          <t>TX</t>
        </is>
      </c>
      <c r="N81" s="14" t="inlineStr">
        <is>
          <t>JM3KFADM1M0302971</t>
        </is>
      </c>
      <c r="O81" s="14" t="n"/>
      <c r="P81" s="22" t="n"/>
      <c r="Q81" s="22" t="n"/>
      <c r="R81" s="30" t="n"/>
      <c r="S81" s="14" t="n"/>
      <c r="T81" s="14" t="n"/>
      <c r="U81" s="14" t="n"/>
      <c r="V81" s="30" t="n"/>
      <c r="W81" s="30" t="n"/>
      <c r="X81" s="14" t="b">
        <v>1</v>
      </c>
      <c r="Y81" s="14" t="inlineStr">
        <is>
          <t>xfer $1799</t>
        </is>
      </c>
      <c r="Z81" s="38" t="inlineStr">
        <is>
          <t>open</t>
        </is>
      </c>
    </row>
    <row r="82">
      <c r="B82" s="14" t="b">
        <v>1</v>
      </c>
      <c r="C82" s="14" t="inlineStr"/>
      <c r="D82" s="21" t="n"/>
      <c r="E82" s="14" t="inlineStr">
        <is>
          <t>CarMax</t>
        </is>
      </c>
      <c r="F82" s="14" t="inlineStr"/>
      <c r="G82" s="28" t="n">
        <v>2022</v>
      </c>
      <c r="H82" s="14" t="inlineStr">
        <is>
          <t>2.5 S Premium Package</t>
        </is>
      </c>
      <c r="I82" s="30" t="n">
        <v>40558</v>
      </c>
      <c r="J82" s="22" t="n">
        <v>26998</v>
      </c>
      <c r="K82" s="14" t="inlineStr">
        <is>
          <t>CarMax Merrillville</t>
        </is>
      </c>
      <c r="L82" s="14" t="inlineStr">
        <is>
          <t>Merrillville</t>
        </is>
      </c>
      <c r="M82" s="14" t="inlineStr">
        <is>
          <t>IN</t>
        </is>
      </c>
      <c r="N82" s="14" t="inlineStr">
        <is>
          <t>JM3KFBDM1N1630621</t>
        </is>
      </c>
      <c r="O82" s="14" t="n"/>
      <c r="P82" s="22" t="n"/>
      <c r="Q82" s="22" t="n"/>
      <c r="R82" s="30" t="n"/>
      <c r="S82" s="14" t="n"/>
      <c r="T82" s="14" t="n"/>
      <c r="U82" s="14" t="n"/>
      <c r="V82" s="30" t="n"/>
      <c r="W82" s="30" t="n"/>
      <c r="X82" s="14" t="b">
        <v>1</v>
      </c>
      <c r="Y82" s="14" t="inlineStr">
        <is>
          <t>xfer $1699</t>
        </is>
      </c>
      <c r="Z82" s="38" t="inlineStr">
        <is>
          <t>open</t>
        </is>
      </c>
    </row>
    <row r="83">
      <c r="B83" s="14" t="b">
        <v>1</v>
      </c>
      <c r="C83" s="14" t="inlineStr"/>
      <c r="D83" s="21" t="n"/>
      <c r="E83" s="14" t="inlineStr">
        <is>
          <t>CarMax</t>
        </is>
      </c>
      <c r="F83" s="14" t="inlineStr"/>
      <c r="G83" s="28" t="n">
        <v>2023</v>
      </c>
      <c r="H83" s="14" t="inlineStr">
        <is>
          <t>2.5 S Premium Package</t>
        </is>
      </c>
      <c r="I83" s="30" t="n">
        <v>39198</v>
      </c>
      <c r="J83" s="22" t="n">
        <v>25998</v>
      </c>
      <c r="K83" s="14" t="inlineStr">
        <is>
          <t>CarMax Smithtown</t>
        </is>
      </c>
      <c r="L83" s="14" t="inlineStr">
        <is>
          <t>Saint James</t>
        </is>
      </c>
      <c r="M83" s="14" t="inlineStr">
        <is>
          <t>NY</t>
        </is>
      </c>
      <c r="N83" s="14" t="inlineStr">
        <is>
          <t>JM3KFBDM2P0189476</t>
        </is>
      </c>
      <c r="O83" s="14" t="n"/>
      <c r="P83" s="22" t="n"/>
      <c r="Q83" s="22" t="n"/>
      <c r="R83" s="30" t="n"/>
      <c r="S83" s="14" t="n"/>
      <c r="T83" s="14" t="n"/>
      <c r="U83" s="14" t="n"/>
      <c r="V83" s="30" t="n"/>
      <c r="W83" s="30" t="n"/>
      <c r="X83" s="14" t="b">
        <v>1</v>
      </c>
      <c r="Y83" s="14" t="inlineStr">
        <is>
          <t>xfer $1999</t>
        </is>
      </c>
      <c r="Z83" s="38" t="inlineStr">
        <is>
          <t>open</t>
        </is>
      </c>
    </row>
    <row r="84">
      <c r="B84" s="14" t="b">
        <v>1</v>
      </c>
      <c r="C84" s="14" t="inlineStr"/>
      <c r="D84" s="21" t="n"/>
      <c r="E84" s="14" t="inlineStr">
        <is>
          <t>CarMax</t>
        </is>
      </c>
      <c r="F84" s="14" t="inlineStr"/>
      <c r="G84" s="28" t="n">
        <v>2021</v>
      </c>
      <c r="H84" s="14" t="inlineStr">
        <is>
          <t>Touring</t>
        </is>
      </c>
      <c r="I84" s="30" t="n">
        <v>38000</v>
      </c>
      <c r="J84" s="22" t="n">
        <v>24998</v>
      </c>
      <c r="K84" s="14" t="inlineStr">
        <is>
          <t>CarMax Loveland</t>
        </is>
      </c>
      <c r="L84" s="14" t="inlineStr">
        <is>
          <t>Loveland</t>
        </is>
      </c>
      <c r="M84" s="14" t="inlineStr">
        <is>
          <t>CO</t>
        </is>
      </c>
      <c r="N84" s="14" t="inlineStr">
        <is>
          <t>JM3KFBCM0M0470818</t>
        </is>
      </c>
      <c r="O84" s="14" t="n"/>
      <c r="P84" s="22" t="n"/>
      <c r="Q84" s="22" t="n"/>
      <c r="R84" s="30" t="n"/>
      <c r="S84" s="14" t="n"/>
      <c r="T84" s="14" t="n"/>
      <c r="U84" s="14" t="n"/>
      <c r="V84" s="30" t="n"/>
      <c r="W84" s="30" t="n"/>
      <c r="X84" s="14" t="b">
        <v>1</v>
      </c>
      <c r="Y84" s="14" t="inlineStr">
        <is>
          <t>xfer $749</t>
        </is>
      </c>
      <c r="Z84" s="38" t="inlineStr">
        <is>
          <t>open</t>
        </is>
      </c>
    </row>
    <row r="85">
      <c r="B85" s="14" t="b">
        <v>1</v>
      </c>
      <c r="C85" s="14" t="inlineStr"/>
      <c r="D85" s="21" t="n"/>
      <c r="E85" s="14" t="inlineStr">
        <is>
          <t>CarMax</t>
        </is>
      </c>
      <c r="F85" s="14" t="inlineStr"/>
      <c r="G85" s="28" t="n">
        <v>2022</v>
      </c>
      <c r="H85" s="14" t="inlineStr">
        <is>
          <t>2.5 S Premium Package</t>
        </is>
      </c>
      <c r="I85" s="30" t="n">
        <v>41295</v>
      </c>
      <c r="J85" s="22" t="n">
        <v>26998</v>
      </c>
      <c r="K85" s="14" t="inlineStr">
        <is>
          <t>CarMax Garland</t>
        </is>
      </c>
      <c r="L85" s="14" t="inlineStr">
        <is>
          <t>Garland</t>
        </is>
      </c>
      <c r="M85" s="14" t="inlineStr">
        <is>
          <t>TX</t>
        </is>
      </c>
      <c r="N85" s="14" t="inlineStr">
        <is>
          <t>JM3KFBDM3N0591200</t>
        </is>
      </c>
      <c r="O85" s="14" t="n"/>
      <c r="P85" s="22" t="n"/>
      <c r="Q85" s="22" t="n"/>
      <c r="R85" s="30" t="n"/>
      <c r="S85" s="14" t="n"/>
      <c r="T85" s="14" t="n"/>
      <c r="U85" s="14" t="n"/>
      <c r="V85" s="30" t="n"/>
      <c r="W85" s="30" t="n"/>
      <c r="X85" s="14" t="b">
        <v>1</v>
      </c>
      <c r="Y85" s="14" t="inlineStr">
        <is>
          <t>xfer $1799</t>
        </is>
      </c>
      <c r="Z85" s="38" t="inlineStr">
        <is>
          <t>open</t>
        </is>
      </c>
    </row>
    <row r="86">
      <c r="B86" s="14" t="b">
        <v>1</v>
      </c>
      <c r="C86" s="14" t="inlineStr"/>
      <c r="D86" s="21" t="n"/>
      <c r="E86" s="14" t="inlineStr">
        <is>
          <t>CarMax</t>
        </is>
      </c>
      <c r="F86" s="14" t="inlineStr"/>
      <c r="G86" s="28" t="n">
        <v>2022</v>
      </c>
      <c r="H86" s="14" t="inlineStr">
        <is>
          <t>Turbo</t>
        </is>
      </c>
      <c r="I86" s="30" t="n">
        <v>40163</v>
      </c>
      <c r="J86" s="22" t="n">
        <v>25998</v>
      </c>
      <c r="K86" s="14" t="inlineStr">
        <is>
          <t>CarMax Boynton Beach</t>
        </is>
      </c>
      <c r="L86" s="14" t="inlineStr">
        <is>
          <t>Boynton Beach</t>
        </is>
      </c>
      <c r="M86" s="14" t="inlineStr">
        <is>
          <t>FL</t>
        </is>
      </c>
      <c r="N86" s="14" t="inlineStr">
        <is>
          <t>JM3KFBAY1N0606168</t>
        </is>
      </c>
      <c r="O86" s="14" t="n"/>
      <c r="P86" s="22" t="n"/>
      <c r="Q86" s="22" t="n"/>
      <c r="R86" s="30" t="n"/>
      <c r="S86" s="14" t="n"/>
      <c r="T86" s="14" t="n"/>
      <c r="U86" s="14" t="n"/>
      <c r="V86" s="30" t="n"/>
      <c r="W86" s="30" t="n"/>
      <c r="X86" s="14" t="b">
        <v>1</v>
      </c>
      <c r="Y86" s="14" t="inlineStr">
        <is>
          <t>xfer $1999</t>
        </is>
      </c>
      <c r="Z86" s="38" t="inlineStr">
        <is>
          <t>open</t>
        </is>
      </c>
    </row>
    <row r="87">
      <c r="B87" s="14" t="b">
        <v>1</v>
      </c>
      <c r="C87" s="14" t="inlineStr"/>
      <c r="D87" s="21" t="n"/>
      <c r="E87" s="14" t="inlineStr">
        <is>
          <t>CarMax</t>
        </is>
      </c>
      <c r="F87" s="14" t="inlineStr"/>
      <c r="G87" s="28" t="n">
        <v>2023</v>
      </c>
      <c r="H87" s="14" t="inlineStr">
        <is>
          <t>2.5 S Preferred Package</t>
        </is>
      </c>
      <c r="I87" s="30" t="n">
        <v>43025</v>
      </c>
      <c r="J87" s="22" t="n">
        <v>26998</v>
      </c>
      <c r="K87" s="14" t="inlineStr">
        <is>
          <t>CarMax Greenwood</t>
        </is>
      </c>
      <c r="L87" s="14" t="inlineStr">
        <is>
          <t>Indianapolis</t>
        </is>
      </c>
      <c r="M87" s="14" t="inlineStr">
        <is>
          <t>IN</t>
        </is>
      </c>
      <c r="N87" s="14" t="inlineStr">
        <is>
          <t>JM3KFBCM1P0250785</t>
        </is>
      </c>
      <c r="O87" s="14" t="n"/>
      <c r="P87" s="22" t="n"/>
      <c r="Q87" s="22" t="n"/>
      <c r="R87" s="30" t="n"/>
      <c r="S87" s="14" t="n"/>
      <c r="T87" s="14" t="n"/>
      <c r="U87" s="14" t="n"/>
      <c r="V87" s="30" t="n"/>
      <c r="W87" s="30" t="n"/>
      <c r="X87" s="14" t="b">
        <v>1</v>
      </c>
      <c r="Y87" s="14" t="inlineStr">
        <is>
          <t>xfer $1699</t>
        </is>
      </c>
      <c r="Z87" s="38" t="inlineStr">
        <is>
          <t>open</t>
        </is>
      </c>
    </row>
    <row r="88">
      <c r="B88" s="14" t="b">
        <v>1</v>
      </c>
      <c r="C88" s="14" t="inlineStr"/>
      <c r="D88" s="21" t="n"/>
      <c r="E88" s="14" t="inlineStr">
        <is>
          <t>CarMax</t>
        </is>
      </c>
      <c r="F88" s="14" t="inlineStr"/>
      <c r="G88" s="28" t="n">
        <v>2023</v>
      </c>
      <c r="H88" s="14" t="inlineStr">
        <is>
          <t>Carbon Edition</t>
        </is>
      </c>
      <c r="I88" s="30" t="n">
        <v>41573</v>
      </c>
      <c r="J88" s="22" t="n">
        <v>25998</v>
      </c>
      <c r="K88" s="14" t="inlineStr">
        <is>
          <t>CarMax Fresno</t>
        </is>
      </c>
      <c r="L88" s="14" t="inlineStr">
        <is>
          <t>Fresno</t>
        </is>
      </c>
      <c r="M88" s="14" t="inlineStr">
        <is>
          <t>CA</t>
        </is>
      </c>
      <c r="N88" s="14" t="inlineStr">
        <is>
          <t>JM3KFBCM2P0149707</t>
        </is>
      </c>
      <c r="O88" s="14" t="n"/>
      <c r="P88" s="22" t="n"/>
      <c r="Q88" s="22" t="n"/>
      <c r="R88" s="30" t="n"/>
      <c r="S88" s="14" t="n"/>
      <c r="T88" s="14" t="n"/>
      <c r="U88" s="14" t="n"/>
      <c r="V88" s="30" t="n"/>
      <c r="W88" s="30" t="n"/>
      <c r="X88" s="14" t="b">
        <v>1</v>
      </c>
      <c r="Y88" s="14" t="inlineStr">
        <is>
          <t>xfer $249</t>
        </is>
      </c>
      <c r="Z88" s="38" t="inlineStr">
        <is>
          <t>open</t>
        </is>
      </c>
    </row>
    <row r="89">
      <c r="B89" s="14" t="b">
        <v>1</v>
      </c>
      <c r="C89" s="14" t="inlineStr"/>
      <c r="D89" s="21" t="n"/>
      <c r="E89" s="14" t="inlineStr">
        <is>
          <t>CarMax</t>
        </is>
      </c>
      <c r="F89" s="14" t="inlineStr"/>
      <c r="G89" s="28" t="n">
        <v>2023</v>
      </c>
      <c r="H89" s="14" t="inlineStr">
        <is>
          <t>Carbon Edition</t>
        </is>
      </c>
      <c r="I89" s="30" t="n">
        <v>42873</v>
      </c>
      <c r="J89" s="22" t="n">
        <v>25998</v>
      </c>
      <c r="K89" s="14" t="inlineStr">
        <is>
          <t>CarMax Live Oak</t>
        </is>
      </c>
      <c r="L89" s="14" t="inlineStr">
        <is>
          <t>San Antonio</t>
        </is>
      </c>
      <c r="M89" s="14" t="inlineStr">
        <is>
          <t>TX</t>
        </is>
      </c>
      <c r="N89" s="14" t="inlineStr">
        <is>
          <t>JM3KFBCM9P0172790</t>
        </is>
      </c>
      <c r="O89" s="14" t="n"/>
      <c r="P89" s="22" t="n"/>
      <c r="Q89" s="22" t="n"/>
      <c r="R89" s="30" t="n"/>
      <c r="S89" s="14" t="n"/>
      <c r="T89" s="14" t="n"/>
      <c r="U89" s="14" t="n"/>
      <c r="V89" s="30" t="n"/>
      <c r="W89" s="30" t="n"/>
      <c r="X89" s="14" t="b">
        <v>1</v>
      </c>
      <c r="Y89" s="14" t="inlineStr">
        <is>
          <t>xfer $1799</t>
        </is>
      </c>
      <c r="Z89" s="38" t="inlineStr">
        <is>
          <t>open</t>
        </is>
      </c>
    </row>
    <row r="90">
      <c r="B90" s="14" t="b">
        <v>1</v>
      </c>
      <c r="C90" s="14" t="inlineStr"/>
      <c r="D90" s="21" t="n"/>
      <c r="E90" s="14" t="inlineStr">
        <is>
          <t>CarMax</t>
        </is>
      </c>
      <c r="F90" s="14" t="inlineStr"/>
      <c r="G90" s="28" t="n">
        <v>2023</v>
      </c>
      <c r="H90" s="14" t="inlineStr">
        <is>
          <t>2.5 S Preferred Package</t>
        </is>
      </c>
      <c r="I90" s="30" t="n">
        <v>42998</v>
      </c>
      <c r="J90" s="22" t="n">
        <v>25998</v>
      </c>
      <c r="K90" s="14" t="inlineStr">
        <is>
          <t>CarMax Newark</t>
        </is>
      </c>
      <c r="L90" s="14" t="inlineStr">
        <is>
          <t>Newark</t>
        </is>
      </c>
      <c r="M90" s="14" t="inlineStr">
        <is>
          <t>DE</t>
        </is>
      </c>
      <c r="N90" s="14" t="inlineStr">
        <is>
          <t>JM3KFBCM8P0249133</t>
        </is>
      </c>
      <c r="O90" s="14" t="n"/>
      <c r="P90" s="22" t="n"/>
      <c r="Q90" s="22" t="n"/>
      <c r="R90" s="30" t="n"/>
      <c r="S90" s="14" t="n"/>
      <c r="T90" s="14" t="n"/>
      <c r="U90" s="14" t="n"/>
      <c r="V90" s="30" t="n"/>
      <c r="W90" s="30" t="n"/>
      <c r="X90" s="14" t="b">
        <v>1</v>
      </c>
      <c r="Y90" s="14" t="inlineStr">
        <is>
          <t>xfer $1999</t>
        </is>
      </c>
      <c r="Z90" s="38" t="inlineStr">
        <is>
          <t>open</t>
        </is>
      </c>
    </row>
    <row r="91">
      <c r="B91" s="14" t="b">
        <v>1</v>
      </c>
      <c r="C91" s="14" t="inlineStr"/>
      <c r="D91" s="21" t="n"/>
      <c r="E91" s="14" t="inlineStr">
        <is>
          <t>CarMax</t>
        </is>
      </c>
      <c r="F91" s="14" t="inlineStr"/>
      <c r="G91" s="28" t="n">
        <v>2021</v>
      </c>
      <c r="H91" s="14" t="inlineStr">
        <is>
          <t>Touring</t>
        </is>
      </c>
      <c r="I91" s="30" t="n">
        <v>43019</v>
      </c>
      <c r="J91" s="22" t="n">
        <v>25998</v>
      </c>
      <c r="K91" s="14" t="inlineStr">
        <is>
          <t>CarMax Merrillville</t>
        </is>
      </c>
      <c r="L91" s="14" t="inlineStr">
        <is>
          <t>Merrillville</t>
        </is>
      </c>
      <c r="M91" s="14" t="inlineStr">
        <is>
          <t>IN</t>
        </is>
      </c>
      <c r="N91" s="14" t="inlineStr">
        <is>
          <t>JM3KFBCM1M0438671</t>
        </is>
      </c>
      <c r="O91" s="14" t="n"/>
      <c r="P91" s="22" t="n"/>
      <c r="Q91" s="22" t="n"/>
      <c r="R91" s="30" t="n"/>
      <c r="S91" s="14" t="n"/>
      <c r="T91" s="14" t="n"/>
      <c r="U91" s="14" t="n"/>
      <c r="V91" s="30" t="n"/>
      <c r="W91" s="30" t="n"/>
      <c r="X91" s="14" t="b">
        <v>1</v>
      </c>
      <c r="Y91" s="14" t="inlineStr">
        <is>
          <t>xfer $1699</t>
        </is>
      </c>
      <c r="Z91" s="38" t="inlineStr">
        <is>
          <t>open</t>
        </is>
      </c>
    </row>
    <row r="92">
      <c r="B92" s="14" t="b">
        <v>1</v>
      </c>
      <c r="C92" s="14" t="inlineStr"/>
      <c r="D92" s="21" t="n"/>
      <c r="E92" s="14" t="inlineStr">
        <is>
          <t>CarMax</t>
        </is>
      </c>
      <c r="F92" s="14" t="inlineStr"/>
      <c r="G92" s="28" t="n">
        <v>2021</v>
      </c>
      <c r="H92" s="14" t="inlineStr">
        <is>
          <t>Touring</t>
        </is>
      </c>
      <c r="I92" s="30" t="n">
        <v>41625</v>
      </c>
      <c r="J92" s="22" t="n">
        <v>24998</v>
      </c>
      <c r="K92" s="14" t="inlineStr">
        <is>
          <t>CarMax Tuscaloosa</t>
        </is>
      </c>
      <c r="L92" s="14" t="inlineStr">
        <is>
          <t>Tuscaloosa</t>
        </is>
      </c>
      <c r="M92" s="14" t="inlineStr">
        <is>
          <t>AL</t>
        </is>
      </c>
      <c r="N92" s="14" t="inlineStr">
        <is>
          <t>JM3KFACM4M0378606</t>
        </is>
      </c>
      <c r="O92" s="14" t="n"/>
      <c r="P92" s="22" t="n"/>
      <c r="Q92" s="22" t="n"/>
      <c r="R92" s="30" t="n"/>
      <c r="S92" s="14" t="n"/>
      <c r="T92" s="14" t="n"/>
      <c r="U92" s="14" t="n"/>
      <c r="V92" s="30" t="n"/>
      <c r="W92" s="30" t="n"/>
      <c r="X92" s="14" t="b">
        <v>1</v>
      </c>
      <c r="Y92" s="14" t="inlineStr">
        <is>
          <t>xfer $1999</t>
        </is>
      </c>
      <c r="Z92" s="38" t="inlineStr">
        <is>
          <t>open</t>
        </is>
      </c>
    </row>
    <row r="93">
      <c r="B93" s="14" t="b">
        <v>1</v>
      </c>
      <c r="C93" s="14" t="inlineStr"/>
      <c r="D93" s="21" t="n"/>
      <c r="E93" s="14" t="inlineStr">
        <is>
          <t>CarMax</t>
        </is>
      </c>
      <c r="F93" s="14" t="inlineStr"/>
      <c r="G93" s="28" t="n">
        <v>2023</v>
      </c>
      <c r="H93" s="14" t="inlineStr">
        <is>
          <t>2.5 S Preferred Package</t>
        </is>
      </c>
      <c r="I93" s="30" t="n">
        <v>43835</v>
      </c>
      <c r="J93" s="22" t="n">
        <v>25998</v>
      </c>
      <c r="K93" s="14" t="inlineStr">
        <is>
          <t>CarMax Garland</t>
        </is>
      </c>
      <c r="L93" s="14" t="inlineStr">
        <is>
          <t>Garland</t>
        </is>
      </c>
      <c r="M93" s="14" t="inlineStr">
        <is>
          <t>TX</t>
        </is>
      </c>
      <c r="N93" s="14" t="inlineStr">
        <is>
          <t>JM3KFBCMXP0250400</t>
        </is>
      </c>
      <c r="O93" s="14" t="n"/>
      <c r="P93" s="22" t="n"/>
      <c r="Q93" s="22" t="n"/>
      <c r="R93" s="30" t="n"/>
      <c r="S93" s="14" t="n"/>
      <c r="T93" s="14" t="n"/>
      <c r="U93" s="14" t="n"/>
      <c r="V93" s="30" t="n"/>
      <c r="W93" s="30" t="n"/>
      <c r="X93" s="14" t="b">
        <v>1</v>
      </c>
      <c r="Y93" s="14" t="inlineStr">
        <is>
          <t>xfer $1799</t>
        </is>
      </c>
      <c r="Z93" s="38" t="inlineStr">
        <is>
          <t>open</t>
        </is>
      </c>
    </row>
    <row r="94">
      <c r="B94" s="14" t="b">
        <v>1</v>
      </c>
      <c r="C94" s="14" t="inlineStr"/>
      <c r="D94" s="21" t="n"/>
      <c r="E94" s="14" t="inlineStr">
        <is>
          <t>CarMax</t>
        </is>
      </c>
      <c r="F94" s="14" t="inlineStr"/>
      <c r="G94" s="28" t="n">
        <v>2022</v>
      </c>
      <c r="H94" s="14" t="inlineStr">
        <is>
          <t>Carbon Edition</t>
        </is>
      </c>
      <c r="I94" s="30" t="n">
        <v>43904</v>
      </c>
      <c r="J94" s="22" t="n">
        <v>25998</v>
      </c>
      <c r="K94" s="14" t="inlineStr">
        <is>
          <t>CarMax Ocala</t>
        </is>
      </c>
      <c r="L94" s="14" t="inlineStr">
        <is>
          <t>Ocala</t>
        </is>
      </c>
      <c r="M94" s="14" t="inlineStr">
        <is>
          <t>FL</t>
        </is>
      </c>
      <c r="N94" s="14" t="inlineStr">
        <is>
          <t>JM3KFBCM7N0543653</t>
        </is>
      </c>
      <c r="O94" s="14" t="n"/>
      <c r="P94" s="22" t="n"/>
      <c r="Q94" s="22" t="n"/>
      <c r="R94" s="30" t="n"/>
      <c r="S94" s="14" t="n"/>
      <c r="T94" s="14" t="n"/>
      <c r="U94" s="14" t="n"/>
      <c r="V94" s="30" t="n"/>
      <c r="W94" s="30" t="n"/>
      <c r="X94" s="14" t="b">
        <v>1</v>
      </c>
      <c r="Y94" s="14" t="inlineStr">
        <is>
          <t>xfer $1999</t>
        </is>
      </c>
      <c r="Z94" s="38" t="inlineStr">
        <is>
          <t>open</t>
        </is>
      </c>
    </row>
    <row r="95">
      <c r="B95" s="14" t="b">
        <v>1</v>
      </c>
      <c r="C95" s="14" t="inlineStr"/>
      <c r="D95" s="21" t="n"/>
      <c r="E95" s="14" t="inlineStr">
        <is>
          <t>CarGurus</t>
        </is>
      </c>
      <c r="F95" s="14" t="inlineStr"/>
      <c r="G95" s="28" t="n">
        <v>2021</v>
      </c>
      <c r="H95" s="14" t="inlineStr">
        <is>
          <t>Grand Touring AWD</t>
        </is>
      </c>
      <c r="I95" s="30" t="n">
        <v>45764</v>
      </c>
      <c r="J95" s="22" t="n">
        <v>26926</v>
      </c>
      <c r="K95" s="14" t="inlineStr">
        <is>
          <t>Tonkin Hillsboro Chrysler Jeep Dodge RAM</t>
        </is>
      </c>
      <c r="L95" s="14" t="inlineStr">
        <is>
          <t>Hillsboro</t>
        </is>
      </c>
      <c r="M95" s="14" t="inlineStr">
        <is>
          <t>OR</t>
        </is>
      </c>
      <c r="N95" s="14" t="inlineStr">
        <is>
          <t>JM3KFBDM6M0429625</t>
        </is>
      </c>
      <c r="O95" s="14" t="inlineStr">
        <is>
          <t>High Price</t>
        </is>
      </c>
      <c r="P95" s="22" t="n">
        <v>-1273</v>
      </c>
      <c r="Q95" s="22" t="n"/>
      <c r="R95" s="30" t="n">
        <v>3</v>
      </c>
      <c r="S95" s="14" t="b">
        <v>0</v>
      </c>
      <c r="T95" s="14" t="n">
        <v>0</v>
      </c>
      <c r="U95" s="14" t="b">
        <v>0</v>
      </c>
      <c r="V95" s="30" t="n">
        <v>24</v>
      </c>
      <c r="W95" s="30" t="n"/>
      <c r="X95" s="14" t="n"/>
      <c r="Y95" s="14" t="inlineStr"/>
      <c r="Z95" s="38" t="inlineStr">
        <is>
          <t>open</t>
        </is>
      </c>
    </row>
    <row r="96">
      <c r="B96" s="14" t="b">
        <v>1</v>
      </c>
      <c r="C96" s="14" t="inlineStr"/>
      <c r="D96" s="21" t="n"/>
      <c r="E96" s="14" t="inlineStr">
        <is>
          <t>CarMax</t>
        </is>
      </c>
      <c r="F96" s="14" t="inlineStr"/>
      <c r="G96" s="28" t="n">
        <v>2023</v>
      </c>
      <c r="H96" s="14" t="inlineStr">
        <is>
          <t>2.5 S Preferred Package</t>
        </is>
      </c>
      <c r="I96" s="30" t="n">
        <v>42541</v>
      </c>
      <c r="J96" s="22" t="n">
        <v>24998</v>
      </c>
      <c r="K96" s="14" t="inlineStr">
        <is>
          <t>CarMax Parker</t>
        </is>
      </c>
      <c r="L96" s="14" t="inlineStr">
        <is>
          <t>Parker</t>
        </is>
      </c>
      <c r="M96" s="14" t="inlineStr">
        <is>
          <t>CO</t>
        </is>
      </c>
      <c r="N96" s="14" t="inlineStr">
        <is>
          <t>JM3KFBCMXP0173964</t>
        </is>
      </c>
      <c r="O96" s="14" t="n"/>
      <c r="P96" s="22" t="n"/>
      <c r="Q96" s="22" t="n"/>
      <c r="R96" s="30" t="n"/>
      <c r="S96" s="14" t="n"/>
      <c r="T96" s="14" t="n"/>
      <c r="U96" s="14" t="n"/>
      <c r="V96" s="30" t="n"/>
      <c r="W96" s="30" t="n"/>
      <c r="X96" s="14" t="b">
        <v>1</v>
      </c>
      <c r="Y96" s="14" t="inlineStr">
        <is>
          <t>xfer $749</t>
        </is>
      </c>
      <c r="Z96" s="38" t="inlineStr">
        <is>
          <t>open</t>
        </is>
      </c>
    </row>
    <row r="97">
      <c r="B97" s="14" t="b">
        <v>1</v>
      </c>
      <c r="C97" s="14" t="inlineStr"/>
      <c r="D97" s="21" t="n"/>
      <c r="E97" s="14" t="inlineStr">
        <is>
          <t>CarMax</t>
        </is>
      </c>
      <c r="F97" s="14" t="inlineStr"/>
      <c r="G97" s="28" t="n">
        <v>2023</v>
      </c>
      <c r="H97" s="14" t="inlineStr">
        <is>
          <t>Carbon Edition</t>
        </is>
      </c>
      <c r="I97" s="30" t="n">
        <v>45998</v>
      </c>
      <c r="J97" s="22" t="n">
        <v>26998</v>
      </c>
      <c r="K97" s="14" t="inlineStr">
        <is>
          <t>CarMax Phoenix-Gilbert</t>
        </is>
      </c>
      <c r="L97" s="14" t="inlineStr">
        <is>
          <t>Gilbert</t>
        </is>
      </c>
      <c r="M97" s="14" t="inlineStr">
        <is>
          <t>AZ</t>
        </is>
      </c>
      <c r="N97" s="14" t="inlineStr">
        <is>
          <t>JM3KFBCM4P0287801</t>
        </is>
      </c>
      <c r="O97" s="14" t="n"/>
      <c r="P97" s="22" t="n"/>
      <c r="Q97" s="22" t="n"/>
      <c r="R97" s="30" t="n"/>
      <c r="S97" s="14" t="n"/>
      <c r="T97" s="14" t="n"/>
      <c r="U97" s="14" t="n"/>
      <c r="V97" s="30" t="n"/>
      <c r="W97" s="30" t="n"/>
      <c r="X97" s="14" t="b">
        <v>1</v>
      </c>
      <c r="Y97" s="14" t="inlineStr">
        <is>
          <t>Only available at</t>
        </is>
      </c>
      <c r="Z97" s="38" t="inlineStr">
        <is>
          <t>open</t>
        </is>
      </c>
    </row>
    <row r="98">
      <c r="B98" s="14" t="b">
        <v>1</v>
      </c>
      <c r="C98" s="14" t="inlineStr"/>
      <c r="D98" s="21" t="n"/>
      <c r="E98" s="14" t="inlineStr">
        <is>
          <t>CarMax</t>
        </is>
      </c>
      <c r="F98" s="14" t="inlineStr"/>
      <c r="G98" s="28" t="n">
        <v>2021</v>
      </c>
      <c r="H98" s="14" t="inlineStr">
        <is>
          <t>Grand Touring</t>
        </is>
      </c>
      <c r="I98" s="30" t="n">
        <v>44390</v>
      </c>
      <c r="J98" s="22" t="n">
        <v>25998</v>
      </c>
      <c r="K98" s="14" t="inlineStr">
        <is>
          <t>CarMax Gaithersburg</t>
        </is>
      </c>
      <c r="L98" s="14" t="inlineStr">
        <is>
          <t>Gaithersburg</t>
        </is>
      </c>
      <c r="M98" s="14" t="inlineStr">
        <is>
          <t>MD</t>
        </is>
      </c>
      <c r="N98" s="14" t="inlineStr">
        <is>
          <t>JM3KFBDM6M0454430</t>
        </is>
      </c>
      <c r="O98" s="14" t="n"/>
      <c r="P98" s="22" t="n"/>
      <c r="Q98" s="22" t="n"/>
      <c r="R98" s="30" t="n"/>
      <c r="S98" s="14" t="n"/>
      <c r="T98" s="14" t="n"/>
      <c r="U98" s="14" t="n"/>
      <c r="V98" s="30" t="n"/>
      <c r="W98" s="30" t="n"/>
      <c r="X98" s="14" t="b">
        <v>1</v>
      </c>
      <c r="Y98" s="14" t="inlineStr">
        <is>
          <t>xfer $1999</t>
        </is>
      </c>
      <c r="Z98" s="38" t="inlineStr">
        <is>
          <t>open</t>
        </is>
      </c>
    </row>
    <row r="99">
      <c r="B99" s="14" t="b">
        <v>1</v>
      </c>
      <c r="C99" s="14" t="inlineStr"/>
      <c r="D99" s="21" t="n"/>
      <c r="E99" s="14" t="inlineStr">
        <is>
          <t>CarMax</t>
        </is>
      </c>
      <c r="F99" s="14" t="inlineStr"/>
      <c r="G99" s="28" t="n">
        <v>2021</v>
      </c>
      <c r="H99" s="14" t="inlineStr">
        <is>
          <t>Grand Touring</t>
        </is>
      </c>
      <c r="I99" s="30" t="n">
        <v>42753</v>
      </c>
      <c r="J99" s="22" t="n">
        <v>24998</v>
      </c>
      <c r="K99" s="14" t="inlineStr">
        <is>
          <t>CarMax Jacksonville</t>
        </is>
      </c>
      <c r="L99" s="14" t="inlineStr">
        <is>
          <t>Jacksonville</t>
        </is>
      </c>
      <c r="M99" s="14" t="inlineStr">
        <is>
          <t>FL</t>
        </is>
      </c>
      <c r="N99" s="14" t="inlineStr">
        <is>
          <t>JM3KFBDM2M1436677</t>
        </is>
      </c>
      <c r="O99" s="14" t="n"/>
      <c r="P99" s="22" t="n"/>
      <c r="Q99" s="22" t="n"/>
      <c r="R99" s="30" t="n"/>
      <c r="S99" s="14" t="n"/>
      <c r="T99" s="14" t="n"/>
      <c r="U99" s="14" t="n"/>
      <c r="V99" s="30" t="n"/>
      <c r="W99" s="30" t="n"/>
      <c r="X99" s="14" t="b">
        <v>1</v>
      </c>
      <c r="Y99" s="14" t="inlineStr">
        <is>
          <t>Only available at</t>
        </is>
      </c>
      <c r="Z99" s="38" t="inlineStr">
        <is>
          <t>open</t>
        </is>
      </c>
    </row>
    <row r="100">
      <c r="B100" s="14" t="b">
        <v>1</v>
      </c>
      <c r="C100" s="14" t="inlineStr"/>
      <c r="D100" s="21" t="n"/>
      <c r="E100" s="14" t="inlineStr">
        <is>
          <t>CarMax</t>
        </is>
      </c>
      <c r="F100" s="14" t="inlineStr"/>
      <c r="G100" s="28" t="n">
        <v>2023</v>
      </c>
      <c r="H100" s="14" t="inlineStr">
        <is>
          <t>Carbon Edition</t>
        </is>
      </c>
      <c r="I100" s="30" t="n">
        <v>44995</v>
      </c>
      <c r="J100" s="22" t="n">
        <v>25998</v>
      </c>
      <c r="K100" s="14" t="inlineStr">
        <is>
          <t>CarMax Orlando</t>
        </is>
      </c>
      <c r="L100" s="14" t="inlineStr">
        <is>
          <t>Orlando</t>
        </is>
      </c>
      <c r="M100" s="14" t="inlineStr">
        <is>
          <t>FL</t>
        </is>
      </c>
      <c r="N100" s="14" t="inlineStr">
        <is>
          <t>JM3KFBCM7P0232842</t>
        </is>
      </c>
      <c r="O100" s="14" t="n"/>
      <c r="P100" s="22" t="n"/>
      <c r="Q100" s="22" t="n"/>
      <c r="R100" s="30" t="n"/>
      <c r="S100" s="14" t="n"/>
      <c r="T100" s="14" t="n"/>
      <c r="U100" s="14" t="n"/>
      <c r="V100" s="30" t="n"/>
      <c r="W100" s="30" t="n"/>
      <c r="X100" s="14" t="b">
        <v>1</v>
      </c>
      <c r="Y100" s="14" t="inlineStr">
        <is>
          <t>xfer $1999</t>
        </is>
      </c>
      <c r="Z100" s="38" t="inlineStr">
        <is>
          <t>open</t>
        </is>
      </c>
    </row>
    <row r="101">
      <c r="B101" s="14" t="b">
        <v>1</v>
      </c>
      <c r="C101" s="14" t="inlineStr"/>
      <c r="D101" s="21" t="n"/>
      <c r="E101" s="14" t="inlineStr">
        <is>
          <t>CarMax</t>
        </is>
      </c>
      <c r="F101" s="14" t="inlineStr"/>
      <c r="G101" s="28" t="n">
        <v>2023</v>
      </c>
      <c r="H101" s="14" t="inlineStr">
        <is>
          <t>2.5 S Preferred Package</t>
        </is>
      </c>
      <c r="I101" s="30" t="n">
        <v>45319</v>
      </c>
      <c r="J101" s="22" t="n">
        <v>25998</v>
      </c>
      <c r="K101" s="14" t="inlineStr">
        <is>
          <t>CarMax Salt Lake (South Jordan)</t>
        </is>
      </c>
      <c r="L101" s="14" t="inlineStr">
        <is>
          <t>South Jordan</t>
        </is>
      </c>
      <c r="M101" s="14" t="inlineStr">
        <is>
          <t>UT</t>
        </is>
      </c>
      <c r="N101" s="14" t="inlineStr">
        <is>
          <t>JM3KFBCM0P0163640</t>
        </is>
      </c>
      <c r="O101" s="14" t="n"/>
      <c r="P101" s="22" t="n"/>
      <c r="Q101" s="22" t="n"/>
      <c r="R101" s="30" t="n"/>
      <c r="S101" s="14" t="n"/>
      <c r="T101" s="14" t="n"/>
      <c r="U101" s="14" t="n"/>
      <c r="V101" s="30" t="n"/>
      <c r="W101" s="30" t="n"/>
      <c r="X101" s="14" t="b">
        <v>1</v>
      </c>
      <c r="Y101" s="14" t="inlineStr">
        <is>
          <t>xfer $249</t>
        </is>
      </c>
      <c r="Z101" s="38" t="inlineStr">
        <is>
          <t>open</t>
        </is>
      </c>
    </row>
    <row r="102">
      <c r="B102" s="14" t="b">
        <v>1</v>
      </c>
      <c r="C102" s="14" t="inlineStr"/>
      <c r="D102" s="21" t="n"/>
      <c r="E102" s="14" t="inlineStr">
        <is>
          <t>CarMax</t>
        </is>
      </c>
      <c r="F102" s="14" t="inlineStr"/>
      <c r="G102" s="28" t="n">
        <v>2022</v>
      </c>
      <c r="H102" s="14" t="inlineStr">
        <is>
          <t>2.5 S</t>
        </is>
      </c>
      <c r="I102" s="30" t="n">
        <v>40273</v>
      </c>
      <c r="J102" s="22" t="n">
        <v>22998</v>
      </c>
      <c r="K102" s="14" t="inlineStr">
        <is>
          <t>CarMax Murrieta</t>
        </is>
      </c>
      <c r="L102" s="14" t="inlineStr">
        <is>
          <t>Murrieta</t>
        </is>
      </c>
      <c r="M102" s="14" t="inlineStr">
        <is>
          <t>CA</t>
        </is>
      </c>
      <c r="N102" s="14" t="inlineStr">
        <is>
          <t>JM3KFBAMXN0648853</t>
        </is>
      </c>
      <c r="O102" s="14" t="n"/>
      <c r="P102" s="22" t="n"/>
      <c r="Q102" s="22" t="n"/>
      <c r="R102" s="30" t="n"/>
      <c r="S102" s="14" t="n"/>
      <c r="T102" s="14" t="n"/>
      <c r="U102" s="14" t="n"/>
      <c r="V102" s="30" t="n"/>
      <c r="W102" s="30" t="n"/>
      <c r="X102" s="14" t="b">
        <v>1</v>
      </c>
      <c r="Y102" s="14" t="inlineStr">
        <is>
          <t>Only available at</t>
        </is>
      </c>
      <c r="Z102" s="38" t="inlineStr">
        <is>
          <t>open</t>
        </is>
      </c>
    </row>
    <row r="103">
      <c r="B103" s="14" t="b">
        <v>1</v>
      </c>
      <c r="C103" s="14" t="inlineStr"/>
      <c r="D103" s="21" t="n"/>
      <c r="E103" s="14" t="inlineStr">
        <is>
          <t>CarMax</t>
        </is>
      </c>
      <c r="F103" s="14" t="inlineStr"/>
      <c r="G103" s="28" t="n">
        <v>2022</v>
      </c>
      <c r="H103" s="14" t="inlineStr">
        <is>
          <t>Carbon Edition</t>
        </is>
      </c>
      <c r="I103" s="30" t="n">
        <v>46655</v>
      </c>
      <c r="J103" s="22" t="n">
        <v>25998</v>
      </c>
      <c r="K103" s="14" t="inlineStr">
        <is>
          <t>CarMax Grand Rapids (Kentwood)</t>
        </is>
      </c>
      <c r="L103" s="14" t="inlineStr">
        <is>
          <t>Kentwood</t>
        </is>
      </c>
      <c r="M103" s="14" t="inlineStr">
        <is>
          <t>MI</t>
        </is>
      </c>
      <c r="N103" s="14" t="inlineStr">
        <is>
          <t>JM3KFBCM4N0551015</t>
        </is>
      </c>
      <c r="O103" s="14" t="n"/>
      <c r="P103" s="22" t="n"/>
      <c r="Q103" s="22" t="n"/>
      <c r="R103" s="30" t="n"/>
      <c r="S103" s="14" t="n"/>
      <c r="T103" s="14" t="n"/>
      <c r="U103" s="14" t="n"/>
      <c r="V103" s="30" t="n"/>
      <c r="W103" s="30" t="n"/>
      <c r="X103" s="14" t="b">
        <v>1</v>
      </c>
      <c r="Y103" s="14" t="inlineStr">
        <is>
          <t>xfer $1699</t>
        </is>
      </c>
      <c r="Z103" s="38" t="inlineStr">
        <is>
          <t>open</t>
        </is>
      </c>
    </row>
    <row r="104">
      <c r="B104" s="14" t="b">
        <v>1</v>
      </c>
      <c r="C104" s="14" t="inlineStr"/>
      <c r="D104" s="21" t="n"/>
      <c r="E104" s="14" t="inlineStr">
        <is>
          <t>CarMax</t>
        </is>
      </c>
      <c r="F104" s="14" t="inlineStr"/>
      <c r="G104" s="28" t="n">
        <v>2022</v>
      </c>
      <c r="H104" s="14" t="inlineStr">
        <is>
          <t>2.5 S Premium Plus Package</t>
        </is>
      </c>
      <c r="I104" s="30" t="n">
        <v>46935</v>
      </c>
      <c r="J104" s="22" t="n">
        <v>25998</v>
      </c>
      <c r="K104" s="14" t="inlineStr">
        <is>
          <t>CarMax Clermont</t>
        </is>
      </c>
      <c r="L104" s="14" t="inlineStr">
        <is>
          <t>Clermont</t>
        </is>
      </c>
      <c r="M104" s="14" t="inlineStr">
        <is>
          <t>FL</t>
        </is>
      </c>
      <c r="N104" s="14" t="inlineStr">
        <is>
          <t>JM3KFBEMXN0545975</t>
        </is>
      </c>
      <c r="O104" s="14" t="n"/>
      <c r="P104" s="22" t="n"/>
      <c r="Q104" s="22" t="n"/>
      <c r="R104" s="30" t="n"/>
      <c r="S104" s="14" t="n"/>
      <c r="T104" s="14" t="n"/>
      <c r="U104" s="14" t="n"/>
      <c r="V104" s="30" t="n"/>
      <c r="W104" s="30" t="n"/>
      <c r="X104" s="14" t="b">
        <v>1</v>
      </c>
      <c r="Y104" s="14" t="inlineStr">
        <is>
          <t>xfer $1999</t>
        </is>
      </c>
      <c r="Z104" s="38" t="inlineStr">
        <is>
          <t>open</t>
        </is>
      </c>
    </row>
    <row r="105">
      <c r="B105" s="14" t="b">
        <v>1</v>
      </c>
      <c r="C105" s="14" t="inlineStr"/>
      <c r="D105" s="21" t="n"/>
      <c r="E105" s="14" t="inlineStr">
        <is>
          <t>Craigslist</t>
        </is>
      </c>
      <c r="F105" s="14" t="inlineStr"/>
      <c r="G105" s="28" t="n">
        <v>2021</v>
      </c>
      <c r="H105" s="14" t="inlineStr">
        <is>
          <t>Touring</t>
        </is>
      </c>
      <c r="I105" s="30" t="n">
        <v>47000</v>
      </c>
      <c r="J105" s="22" t="n">
        <v>25787</v>
      </c>
      <c r="K105" s="14" t="n"/>
      <c r="L105" s="14" t="inlineStr">
        <is>
          <t>Mazda of Gladstone</t>
        </is>
      </c>
      <c r="M105" s="14" t="inlineStr"/>
      <c r="N105" s="14" t="n"/>
      <c r="O105" s="14" t="n"/>
      <c r="P105" s="22" t="n"/>
      <c r="Q105" s="22" t="n"/>
      <c r="R105" s="30" t="n"/>
      <c r="S105" s="14" t="n"/>
      <c r="T105" s="14" t="n"/>
      <c r="U105" s="14" t="n"/>
      <c r="V105" s="30" t="n"/>
      <c r="W105" s="30" t="n"/>
      <c r="X105" s="14" t="b">
        <v>1</v>
      </c>
      <c r="Y105" s="14" t="inlineStr"/>
      <c r="Z105" s="38" t="inlineStr">
        <is>
          <t>open</t>
        </is>
      </c>
    </row>
    <row r="106">
      <c r="B106" s="14" t="b">
        <v>1</v>
      </c>
      <c r="C106" s="14" t="inlineStr"/>
      <c r="D106" s="21" t="n"/>
      <c r="E106" s="14" t="inlineStr">
        <is>
          <t>Craigslist</t>
        </is>
      </c>
      <c r="F106" s="14" t="inlineStr"/>
      <c r="G106" s="28" t="n">
        <v>2021</v>
      </c>
      <c r="H106" s="14" t="inlineStr">
        <is>
          <t>Touring</t>
        </is>
      </c>
      <c r="I106" s="30" t="n">
        <v>47000</v>
      </c>
      <c r="J106" s="22" t="n">
        <v>25787</v>
      </c>
      <c r="K106" s="14" t="n"/>
      <c r="L106" s="14" t="inlineStr">
        <is>
          <t>Mazda of Gladstone</t>
        </is>
      </c>
      <c r="M106" s="14" t="inlineStr"/>
      <c r="N106" s="14" t="n"/>
      <c r="O106" s="14" t="n"/>
      <c r="P106" s="22" t="n"/>
      <c r="Q106" s="22" t="n"/>
      <c r="R106" s="30" t="n"/>
      <c r="S106" s="14" t="n"/>
      <c r="T106" s="14" t="n"/>
      <c r="U106" s="14" t="n"/>
      <c r="V106" s="30" t="n"/>
      <c r="W106" s="30" t="n"/>
      <c r="X106" s="14" t="b">
        <v>1</v>
      </c>
      <c r="Y106" s="14" t="inlineStr"/>
      <c r="Z106" s="38" t="inlineStr">
        <is>
          <t>open</t>
        </is>
      </c>
    </row>
    <row r="107">
      <c r="B107" s="14" t="b">
        <v>1</v>
      </c>
      <c r="C107" s="14" t="inlineStr"/>
      <c r="D107" s="21" t="n"/>
      <c r="E107" s="14" t="inlineStr">
        <is>
          <t>iSeeCars</t>
        </is>
      </c>
      <c r="F107" s="14" t="inlineStr"/>
      <c r="G107" s="28" t="n">
        <v>2021</v>
      </c>
      <c r="H107" s="14" t="inlineStr">
        <is>
          <t>Touring</t>
        </is>
      </c>
      <c r="I107" s="30" t="n">
        <v>42665</v>
      </c>
      <c r="J107" s="22" t="n">
        <v>23400</v>
      </c>
      <c r="K107" s="14" t="n"/>
      <c r="L107" s="14" t="inlineStr">
        <is>
          <t>Hillsboro</t>
        </is>
      </c>
      <c r="M107" s="14" t="inlineStr">
        <is>
          <t>OR</t>
        </is>
      </c>
      <c r="N107" s="14" t="n"/>
      <c r="O107" s="14" t="n"/>
      <c r="P107" s="22" t="n"/>
      <c r="Q107" s="22" t="n"/>
      <c r="R107" s="30" t="n"/>
      <c r="S107" s="14" t="n"/>
      <c r="T107" s="14" t="n"/>
      <c r="U107" s="14" t="n"/>
      <c r="V107" s="30" t="n"/>
      <c r="W107" s="30" t="n"/>
      <c r="X107" s="14" t="b">
        <v>1</v>
      </c>
      <c r="Y107" s="14" t="inlineStr"/>
      <c r="Z107" s="14" t="n"/>
    </row>
    <row r="108">
      <c r="B108" s="14" t="b">
        <v>1</v>
      </c>
      <c r="C108" s="14" t="inlineStr"/>
      <c r="D108" s="21" t="n"/>
      <c r="E108" s="14" t="inlineStr">
        <is>
          <t>CarMax</t>
        </is>
      </c>
      <c r="F108" s="14" t="inlineStr"/>
      <c r="G108" s="28" t="n">
        <v>2021</v>
      </c>
      <c r="H108" s="14" t="inlineStr">
        <is>
          <t>Grand Touring</t>
        </is>
      </c>
      <c r="I108" s="30" t="n">
        <v>48092</v>
      </c>
      <c r="J108" s="22" t="n">
        <v>25998</v>
      </c>
      <c r="K108" s="14" t="inlineStr">
        <is>
          <t>CarMax Westborough</t>
        </is>
      </c>
      <c r="L108" s="14" t="inlineStr">
        <is>
          <t>Westborough</t>
        </is>
      </c>
      <c r="M108" s="14" t="inlineStr">
        <is>
          <t>MA</t>
        </is>
      </c>
      <c r="N108" s="14" t="inlineStr">
        <is>
          <t>JM3KFBDM0M1434300</t>
        </is>
      </c>
      <c r="O108" s="14" t="n"/>
      <c r="P108" s="22" t="n"/>
      <c r="Q108" s="22" t="n"/>
      <c r="R108" s="30" t="n"/>
      <c r="S108" s="14" t="n"/>
      <c r="T108" s="14" t="n"/>
      <c r="U108" s="14" t="n"/>
      <c r="V108" s="30" t="n"/>
      <c r="W108" s="30" t="n"/>
      <c r="X108" s="14" t="b">
        <v>1</v>
      </c>
      <c r="Y108" s="14" t="inlineStr">
        <is>
          <t>xfer $1999</t>
        </is>
      </c>
      <c r="Z108" s="38" t="inlineStr">
        <is>
          <t>open</t>
        </is>
      </c>
    </row>
    <row r="109">
      <c r="B109" s="14" t="b">
        <v>1</v>
      </c>
      <c r="C109" s="14" t="inlineStr"/>
      <c r="D109" s="21" t="n"/>
      <c r="E109" s="14" t="inlineStr">
        <is>
          <t>CarMax</t>
        </is>
      </c>
      <c r="F109" s="14" t="inlineStr"/>
      <c r="G109" s="28" t="n">
        <v>2021</v>
      </c>
      <c r="H109" s="14" t="inlineStr">
        <is>
          <t>Grand Touring Reserve</t>
        </is>
      </c>
      <c r="I109" s="30" t="n">
        <v>48294</v>
      </c>
      <c r="J109" s="22" t="n">
        <v>25998</v>
      </c>
      <c r="K109" s="14" t="inlineStr">
        <is>
          <t>CarMax Brandywine</t>
        </is>
      </c>
      <c r="L109" s="14" t="inlineStr">
        <is>
          <t>Brandywine</t>
        </is>
      </c>
      <c r="M109" s="14" t="inlineStr">
        <is>
          <t>MD</t>
        </is>
      </c>
      <c r="N109" s="14" t="inlineStr">
        <is>
          <t>JM3KFBAY7M0431309</t>
        </is>
      </c>
      <c r="O109" s="14" t="n"/>
      <c r="P109" s="22" t="n"/>
      <c r="Q109" s="22" t="n"/>
      <c r="R109" s="30" t="n"/>
      <c r="S109" s="14" t="n"/>
      <c r="T109" s="14" t="n"/>
      <c r="U109" s="14" t="n"/>
      <c r="V109" s="30" t="n"/>
      <c r="W109" s="30" t="n"/>
      <c r="X109" s="14" t="b">
        <v>1</v>
      </c>
      <c r="Y109" s="14" t="inlineStr">
        <is>
          <t>xfer $1999</t>
        </is>
      </c>
      <c r="Z109" s="38" t="inlineStr">
        <is>
          <t>open</t>
        </is>
      </c>
    </row>
    <row r="110">
      <c r="B110" s="14" t="b">
        <v>1</v>
      </c>
      <c r="C110" s="14" t="inlineStr"/>
      <c r="D110" s="21" t="n"/>
      <c r="E110" s="14" t="inlineStr">
        <is>
          <t>CarMax</t>
        </is>
      </c>
      <c r="F110" s="14" t="inlineStr"/>
      <c r="G110" s="28" t="n">
        <v>2022</v>
      </c>
      <c r="H110" s="14" t="inlineStr">
        <is>
          <t>Carbon Edition</t>
        </is>
      </c>
      <c r="I110" s="30" t="n">
        <v>48384</v>
      </c>
      <c r="J110" s="22" t="n">
        <v>25998</v>
      </c>
      <c r="K110" s="14" t="inlineStr">
        <is>
          <t>CarMax Salt Lake (South Jordan)</t>
        </is>
      </c>
      <c r="L110" s="14" t="inlineStr">
        <is>
          <t>South Jordan</t>
        </is>
      </c>
      <c r="M110" s="14" t="inlineStr">
        <is>
          <t>UT</t>
        </is>
      </c>
      <c r="N110" s="14" t="inlineStr">
        <is>
          <t>JM3KFBCMXN1522287</t>
        </is>
      </c>
      <c r="O110" s="14" t="n"/>
      <c r="P110" s="22" t="n"/>
      <c r="Q110" s="22" t="n"/>
      <c r="R110" s="30" t="n"/>
      <c r="S110" s="14" t="n"/>
      <c r="T110" s="14" t="n"/>
      <c r="U110" s="14" t="n"/>
      <c r="V110" s="30" t="n"/>
      <c r="W110" s="30" t="n"/>
      <c r="X110" s="14" t="b">
        <v>1</v>
      </c>
      <c r="Y110" s="14" t="inlineStr">
        <is>
          <t>xfer $249</t>
        </is>
      </c>
      <c r="Z110" s="38" t="inlineStr">
        <is>
          <t>open</t>
        </is>
      </c>
    </row>
    <row r="111">
      <c r="B111" s="14" t="b">
        <v>1</v>
      </c>
      <c r="C111" s="14" t="inlineStr"/>
      <c r="D111" s="21" t="n"/>
      <c r="E111" s="14" t="inlineStr">
        <is>
          <t>CarMax</t>
        </is>
      </c>
      <c r="F111" s="14" t="inlineStr"/>
      <c r="G111" s="28" t="n">
        <v>2021</v>
      </c>
      <c r="H111" s="14" t="inlineStr">
        <is>
          <t>Touring</t>
        </is>
      </c>
      <c r="I111" s="30" t="n">
        <v>45174</v>
      </c>
      <c r="J111" s="22" t="n">
        <v>23998</v>
      </c>
      <c r="K111" s="14" t="inlineStr">
        <is>
          <t>CarMax Buford</t>
        </is>
      </c>
      <c r="L111" s="14" t="inlineStr">
        <is>
          <t>Buford</t>
        </is>
      </c>
      <c r="M111" s="14" t="inlineStr">
        <is>
          <t>GA</t>
        </is>
      </c>
      <c r="N111" s="14" t="inlineStr">
        <is>
          <t>JM3KFBCM6M0484075</t>
        </is>
      </c>
      <c r="O111" s="14" t="n"/>
      <c r="P111" s="22" t="n"/>
      <c r="Q111" s="22" t="n"/>
      <c r="R111" s="30" t="n"/>
      <c r="S111" s="14" t="n"/>
      <c r="T111" s="14" t="n"/>
      <c r="U111" s="14" t="n"/>
      <c r="V111" s="30" t="n"/>
      <c r="W111" s="30" t="n"/>
      <c r="X111" s="14" t="b">
        <v>1</v>
      </c>
      <c r="Y111" s="14" t="inlineStr">
        <is>
          <t>xfer $1999</t>
        </is>
      </c>
      <c r="Z111" s="38" t="inlineStr">
        <is>
          <t>open</t>
        </is>
      </c>
    </row>
    <row r="112">
      <c r="B112" s="14" t="b">
        <v>1</v>
      </c>
      <c r="C112" s="14" t="inlineStr"/>
      <c r="D112" s="21" t="n"/>
      <c r="E112" s="14" t="inlineStr">
        <is>
          <t>CarSoup</t>
        </is>
      </c>
      <c r="F112" s="14" t="inlineStr"/>
      <c r="G112" s="28" t="n">
        <v>2021</v>
      </c>
      <c r="H112" s="14" t="inlineStr">
        <is>
          <t>Grand Touring</t>
        </is>
      </c>
      <c r="I112" s="30" t="n">
        <v>48955</v>
      </c>
      <c r="J112" s="22" t="n">
        <v>25338</v>
      </c>
      <c r="K112" s="14" t="inlineStr">
        <is>
          <t>Barnett White Bear Chrysler Jeep Dodge Ram Kia</t>
        </is>
      </c>
      <c r="L112" s="14" t="inlineStr">
        <is>
          <t>White Bear Lake</t>
        </is>
      </c>
      <c r="M112" s="14" t="inlineStr">
        <is>
          <t>MN</t>
        </is>
      </c>
      <c r="N112" s="14" t="inlineStr">
        <is>
          <t>JM3KFBDM6M0453665</t>
        </is>
      </c>
      <c r="O112" s="14" t="n"/>
      <c r="P112" s="22" t="n"/>
      <c r="Q112" s="22" t="n"/>
      <c r="R112" s="30" t="n"/>
      <c r="S112" s="14" t="n"/>
      <c r="T112" s="14" t="n"/>
      <c r="U112" s="14" t="n"/>
      <c r="V112" s="30" t="n"/>
      <c r="W112" s="30" t="n"/>
      <c r="X112" s="14" t="b">
        <v>1</v>
      </c>
      <c r="Y112" s="14" t="inlineStr"/>
      <c r="Z112" s="14" t="n"/>
    </row>
    <row r="113">
      <c r="B113" s="14" t="b">
        <v>1</v>
      </c>
      <c r="C113" s="14" t="inlineStr"/>
      <c r="D113" s="21" t="n">
        <v>11</v>
      </c>
      <c r="E113" s="14" t="inlineStr">
        <is>
          <t>CarMax</t>
        </is>
      </c>
      <c r="F113" s="14" t="inlineStr"/>
      <c r="G113" s="28" t="n">
        <v>2022</v>
      </c>
      <c r="H113" s="14" t="inlineStr">
        <is>
          <t>Carbon Edition</t>
        </is>
      </c>
      <c r="I113" s="30" t="n">
        <v>48337</v>
      </c>
      <c r="J113" s="22" t="n">
        <v>24998</v>
      </c>
      <c r="K113" s="14" t="inlineStr">
        <is>
          <t>CarMax Sacramento South</t>
        </is>
      </c>
      <c r="L113" s="14" t="inlineStr">
        <is>
          <t>Sacramento</t>
        </is>
      </c>
      <c r="M113" s="14" t="inlineStr">
        <is>
          <t>CA</t>
        </is>
      </c>
      <c r="N113" s="14" t="inlineStr">
        <is>
          <t>JM3KFBCM0N1599511</t>
        </is>
      </c>
      <c r="O113" s="14" t="n"/>
      <c r="P113" s="22" t="n"/>
      <c r="Q113" s="22" t="n"/>
      <c r="R113" s="30" t="n"/>
      <c r="S113" s="14" t="n"/>
      <c r="T113" s="14" t="n"/>
      <c r="U113" s="14" t="n"/>
      <c r="V113" s="30" t="n"/>
      <c r="W113" s="30" t="n"/>
      <c r="X113" s="14" t="b">
        <v>1</v>
      </c>
      <c r="Y113" s="14" t="inlineStr">
        <is>
          <t>xfer $199</t>
        </is>
      </c>
      <c r="Z113" s="38" t="inlineStr">
        <is>
          <t>open</t>
        </is>
      </c>
    </row>
    <row r="114">
      <c r="B114" s="14" t="b">
        <v>1</v>
      </c>
      <c r="C114" s="14" t="inlineStr"/>
      <c r="D114" s="21" t="n"/>
      <c r="E114" s="14" t="inlineStr">
        <is>
          <t>CarMax</t>
        </is>
      </c>
      <c r="F114" s="14" t="inlineStr"/>
      <c r="G114" s="28" t="n">
        <v>2023</v>
      </c>
      <c r="H114" s="14" t="inlineStr">
        <is>
          <t>2.5 S</t>
        </is>
      </c>
      <c r="I114" s="30" t="n">
        <v>44609</v>
      </c>
      <c r="J114" s="22" t="n">
        <v>22998</v>
      </c>
      <c r="K114" s="14" t="inlineStr">
        <is>
          <t>CarMax White Marsh</t>
        </is>
      </c>
      <c r="L114" s="14" t="inlineStr">
        <is>
          <t>White Marsh</t>
        </is>
      </c>
      <c r="M114" s="14" t="inlineStr">
        <is>
          <t>MD</t>
        </is>
      </c>
      <c r="N114" s="14" t="inlineStr">
        <is>
          <t>JM3KFBAM6P0206302</t>
        </is>
      </c>
      <c r="O114" s="14" t="n"/>
      <c r="P114" s="22" t="n"/>
      <c r="Q114" s="22" t="n"/>
      <c r="R114" s="30" t="n"/>
      <c r="S114" s="14" t="n"/>
      <c r="T114" s="14" t="n"/>
      <c r="U114" s="14" t="n"/>
      <c r="V114" s="30" t="n"/>
      <c r="W114" s="30" t="n"/>
      <c r="X114" s="14" t="b">
        <v>1</v>
      </c>
      <c r="Y114" s="14" t="inlineStr">
        <is>
          <t>xfer $1999</t>
        </is>
      </c>
      <c r="Z114" s="38" t="inlineStr">
        <is>
          <t>open</t>
        </is>
      </c>
    </row>
    <row r="115">
      <c r="B115" s="14" t="b">
        <v>1</v>
      </c>
      <c r="C115" s="14" t="inlineStr"/>
      <c r="D115" s="21" t="n"/>
      <c r="E115" s="14" t="inlineStr">
        <is>
          <t>Carvana</t>
        </is>
      </c>
      <c r="F115" s="14" t="inlineStr"/>
      <c r="G115" s="28" t="n">
        <v>2022</v>
      </c>
      <c r="H115" s="14" t="inlineStr">
        <is>
          <t>2.5 S Select Sport Utility 4D</t>
        </is>
      </c>
      <c r="I115" s="30" t="n">
        <v>47595</v>
      </c>
      <c r="J115" s="22" t="n">
        <v>23590</v>
      </c>
      <c r="K115" s="14" t="n"/>
      <c r="L115" s="14" t="inlineStr">
        <is>
          <t>Eugene</t>
        </is>
      </c>
      <c r="M115" s="14" t="inlineStr">
        <is>
          <t>OR</t>
        </is>
      </c>
      <c r="N115" s="14" t="inlineStr">
        <is>
          <t>JM3KFBBM1N0608403</t>
        </is>
      </c>
      <c r="O115" s="14" t="n"/>
      <c r="P115" s="22" t="n"/>
      <c r="Q115" s="22" t="n"/>
      <c r="R115" s="30" t="n"/>
      <c r="S115" s="14" t="n"/>
      <c r="T115" s="14" t="n"/>
      <c r="U115" s="14" t="n"/>
      <c r="V115" s="30" t="n"/>
      <c r="W115" s="30" t="n"/>
      <c r="X115" s="14" t="b">
        <v>1</v>
      </c>
      <c r="Y115" s="14" t="inlineStr"/>
      <c r="Z115" s="38" t="inlineStr">
        <is>
          <t>open</t>
        </is>
      </c>
    </row>
    <row r="116">
      <c r="B116" s="14" t="b">
        <v>1</v>
      </c>
      <c r="C116" s="14" t="inlineStr"/>
      <c r="D116" s="21" t="n"/>
      <c r="E116" s="14" t="inlineStr">
        <is>
          <t>CarMax</t>
        </is>
      </c>
      <c r="F116" s="14" t="inlineStr"/>
      <c r="G116" s="28" t="n">
        <v>2021</v>
      </c>
      <c r="H116" s="14" t="inlineStr">
        <is>
          <t>Touring</t>
        </is>
      </c>
      <c r="I116" s="30" t="n">
        <v>48583</v>
      </c>
      <c r="J116" s="22" t="n">
        <v>23998</v>
      </c>
      <c r="K116" s="14" t="inlineStr">
        <is>
          <t>CarMax Virginia Beach</t>
        </is>
      </c>
      <c r="L116" s="14" t="inlineStr">
        <is>
          <t>Virginia Beach</t>
        </is>
      </c>
      <c r="M116" s="14" t="inlineStr">
        <is>
          <t>VA</t>
        </is>
      </c>
      <c r="N116" s="14" t="inlineStr">
        <is>
          <t>JM3KFBCM9M0320352</t>
        </is>
      </c>
      <c r="O116" s="14" t="n"/>
      <c r="P116" s="22" t="n"/>
      <c r="Q116" s="22" t="n"/>
      <c r="R116" s="30" t="n"/>
      <c r="S116" s="14" t="n"/>
      <c r="T116" s="14" t="n"/>
      <c r="U116" s="14" t="n"/>
      <c r="V116" s="30" t="n"/>
      <c r="W116" s="30" t="n"/>
      <c r="X116" s="14" t="b">
        <v>1</v>
      </c>
      <c r="Y116" s="14" t="inlineStr">
        <is>
          <t>xfer $1999</t>
        </is>
      </c>
      <c r="Z116" s="38" t="inlineStr">
        <is>
          <t>open</t>
        </is>
      </c>
    </row>
    <row r="117">
      <c r="B117" s="14" t="b">
        <v>1</v>
      </c>
      <c r="C117" s="14" t="inlineStr"/>
      <c r="D117" s="21" t="n"/>
      <c r="E117" s="14" t="inlineStr">
        <is>
          <t>CarGurus</t>
        </is>
      </c>
      <c r="F117" s="14" t="inlineStr">
        <is>
          <t>KBB, Craigslist</t>
        </is>
      </c>
      <c r="G117" s="28" t="n">
        <v>2021</v>
      </c>
      <c r="H117" s="14" t="inlineStr">
        <is>
          <t>Touring AWD</t>
        </is>
      </c>
      <c r="I117" s="30" t="n">
        <v>46958</v>
      </c>
      <c r="J117" s="22" t="n">
        <v>26037</v>
      </c>
      <c r="K117" s="14" t="inlineStr">
        <is>
          <t>Mazda of Gladstone</t>
        </is>
      </c>
      <c r="L117" s="14" t="inlineStr">
        <is>
          <t>Gladstone</t>
        </is>
      </c>
      <c r="M117" s="14" t="inlineStr">
        <is>
          <t>OR</t>
        </is>
      </c>
      <c r="N117" s="14" t="inlineStr">
        <is>
          <t>JM3KFBCM6M1434271</t>
        </is>
      </c>
      <c r="O117" s="14" t="inlineStr">
        <is>
          <t>High Price</t>
        </is>
      </c>
      <c r="P117" s="22" t="n">
        <v>-1571</v>
      </c>
      <c r="Q117" s="22" t="n">
        <v>-1330</v>
      </c>
      <c r="R117" s="30" t="n">
        <v>11</v>
      </c>
      <c r="S117" s="14" t="b">
        <v>1</v>
      </c>
      <c r="T117" s="14" t="n">
        <v>0</v>
      </c>
      <c r="U117" s="14" t="b">
        <v>0</v>
      </c>
      <c r="V117" s="30" t="n">
        <v>26</v>
      </c>
      <c r="W117" s="30" t="n"/>
      <c r="X117" s="14" t="n"/>
      <c r="Y117" s="14" t="inlineStr"/>
      <c r="Z117" s="38" t="inlineStr">
        <is>
          <t>open</t>
        </is>
      </c>
    </row>
    <row r="118">
      <c r="B118" s="31" t="b">
        <v>0</v>
      </c>
      <c r="C118" s="31" t="inlineStr">
        <is>
          <t>unwanted trim</t>
        </is>
      </c>
      <c r="D118" s="21" t="n"/>
      <c r="E118" s="14" t="inlineStr">
        <is>
          <t>KBB</t>
        </is>
      </c>
      <c r="F118" s="14" t="inlineStr">
        <is>
          <t>Cars.com, iSeeCars</t>
        </is>
      </c>
      <c r="G118" s="28" t="n">
        <v>2023</v>
      </c>
      <c r="H118" s="14" t="inlineStr">
        <is>
          <t>AWD 2.5 S</t>
        </is>
      </c>
      <c r="I118" s="30" t="n">
        <v>20533</v>
      </c>
      <c r="J118" s="22" t="n">
        <v>26495</v>
      </c>
      <c r="K118" s="14" t="inlineStr">
        <is>
          <t>Auto Connections of Bellevue</t>
        </is>
      </c>
      <c r="L118" s="14" t="inlineStr">
        <is>
          <t>Bellevue</t>
        </is>
      </c>
      <c r="M118" s="14" t="inlineStr">
        <is>
          <t>WA</t>
        </is>
      </c>
      <c r="N118" s="14" t="inlineStr">
        <is>
          <t>JM3KFBCM4P0156996</t>
        </is>
      </c>
      <c r="O118" s="14" t="inlineStr">
        <is>
          <t>Great Deal</t>
        </is>
      </c>
      <c r="P118" s="22" t="n"/>
      <c r="Q118" s="22" t="n">
        <v>535</v>
      </c>
      <c r="R118" s="30" t="n">
        <v>56</v>
      </c>
      <c r="S118" s="14" t="b">
        <v>0</v>
      </c>
      <c r="T118" s="14" t="n">
        <v>0</v>
      </c>
      <c r="U118" s="14" t="b">
        <v>0</v>
      </c>
      <c r="V118" s="30" t="n"/>
      <c r="W118" s="30" t="n"/>
      <c r="X118" s="14" t="n"/>
      <c r="Y118" s="14" t="inlineStr"/>
      <c r="Z118" s="38" t="inlineStr">
        <is>
          <t>open</t>
        </is>
      </c>
    </row>
    <row r="119">
      <c r="B119" s="31" t="b">
        <v>0</v>
      </c>
      <c r="C119" s="31" t="inlineStr">
        <is>
          <t>unwanted trim</t>
        </is>
      </c>
      <c r="D119" s="21" t="n"/>
      <c r="E119" s="14" t="inlineStr">
        <is>
          <t>KBB</t>
        </is>
      </c>
      <c r="F119" s="14" t="inlineStr">
        <is>
          <t>Cars.com</t>
        </is>
      </c>
      <c r="G119" s="28" t="n">
        <v>2022</v>
      </c>
      <c r="H119" s="14" t="inlineStr">
        <is>
          <t>AWD 2.5 S w/ Select Package</t>
        </is>
      </c>
      <c r="I119" s="30" t="n">
        <v>28548</v>
      </c>
      <c r="J119" s="22" t="n">
        <v>24995</v>
      </c>
      <c r="K119" s="14" t="inlineStr">
        <is>
          <t>Pacific Coast Auto &amp; Truck Center</t>
        </is>
      </c>
      <c r="L119" s="14" t="inlineStr">
        <is>
          <t>Burlington</t>
        </is>
      </c>
      <c r="M119" s="14" t="inlineStr">
        <is>
          <t>WA</t>
        </is>
      </c>
      <c r="N119" s="14" t="inlineStr">
        <is>
          <t>JM3KFBBM0N0555435</t>
        </is>
      </c>
      <c r="O119" s="14" t="inlineStr">
        <is>
          <t>Good</t>
        </is>
      </c>
      <c r="P119" s="22" t="n"/>
      <c r="Q119" s="22" t="n">
        <v>-336</v>
      </c>
      <c r="R119" s="30" t="n">
        <v>72</v>
      </c>
      <c r="S119" s="14" t="b">
        <v>1</v>
      </c>
      <c r="T119" s="14" t="n">
        <v>0</v>
      </c>
      <c r="U119" s="14" t="b">
        <v>0</v>
      </c>
      <c r="V119" s="30" t="n"/>
      <c r="W119" s="30" t="n">
        <v>1</v>
      </c>
      <c r="X119" s="14" t="n"/>
      <c r="Y119" s="14" t="inlineStr"/>
      <c r="Z119" s="38" t="inlineStr">
        <is>
          <t>open</t>
        </is>
      </c>
    </row>
    <row r="120">
      <c r="B120" s="31" t="b">
        <v>0</v>
      </c>
      <c r="C120" s="31" t="inlineStr">
        <is>
          <t>unwanted trim</t>
        </is>
      </c>
      <c r="D120" s="21" t="n"/>
      <c r="E120" s="14" t="inlineStr">
        <is>
          <t>Cars.com</t>
        </is>
      </c>
      <c r="F120" s="14" t="inlineStr"/>
      <c r="G120" s="28" t="n">
        <v>2023</v>
      </c>
      <c r="H120" s="14" t="inlineStr">
        <is>
          <t>2.5 S Select Package</t>
        </is>
      </c>
      <c r="I120" s="30" t="n">
        <v>13555</v>
      </c>
      <c r="J120" s="22" t="n">
        <v>26690</v>
      </c>
      <c r="K120" s="14" t="inlineStr">
        <is>
          <t>Lexus Of Portland</t>
        </is>
      </c>
      <c r="L120" s="14" t="inlineStr">
        <is>
          <t>Portland</t>
        </is>
      </c>
      <c r="M120" s="14" t="inlineStr">
        <is>
          <t>OR</t>
        </is>
      </c>
      <c r="N120" s="14" t="inlineStr">
        <is>
          <t>JM3KFBBM0P0261214</t>
        </is>
      </c>
      <c r="O120" s="14" t="inlineStr">
        <is>
          <t>Good Deal</t>
        </is>
      </c>
      <c r="P120" s="22" t="n"/>
      <c r="Q120" s="22" t="n"/>
      <c r="R120" s="30" t="n"/>
      <c r="S120" s="14" t="n"/>
      <c r="T120" s="14" t="n"/>
      <c r="U120" s="14" t="n"/>
      <c r="V120" s="30" t="n"/>
      <c r="W120" s="30" t="n"/>
      <c r="X120" s="14" t="n"/>
      <c r="Y120" s="14" t="inlineStr"/>
      <c r="Z120" s="38" t="inlineStr">
        <is>
          <t>open</t>
        </is>
      </c>
    </row>
    <row r="121">
      <c r="B121" s="31" t="b">
        <v>0</v>
      </c>
      <c r="C121" s="31" t="inlineStr">
        <is>
          <t>accident</t>
        </is>
      </c>
      <c r="D121" s="21" t="n"/>
      <c r="E121" s="14" t="inlineStr">
        <is>
          <t>KBB</t>
        </is>
      </c>
      <c r="F121" s="14" t="inlineStr">
        <is>
          <t>Cars.com</t>
        </is>
      </c>
      <c r="G121" s="28" t="n">
        <v>2021</v>
      </c>
      <c r="H121" s="14" t="inlineStr">
        <is>
          <t>Grand Touring</t>
        </is>
      </c>
      <c r="I121" s="30" t="n">
        <v>46509</v>
      </c>
      <c r="J121" s="22" t="n">
        <v>25240</v>
      </c>
      <c r="K121" s="14" t="inlineStr">
        <is>
          <t>Ron Tonkin Chrysler Jeep Dodge Ram Fiat</t>
        </is>
      </c>
      <c r="L121" s="14" t="inlineStr">
        <is>
          <t>Portland</t>
        </is>
      </c>
      <c r="M121" s="14" t="inlineStr">
        <is>
          <t>OR</t>
        </is>
      </c>
      <c r="N121" s="14" t="inlineStr">
        <is>
          <t>JM3KFBDM2M1481487</t>
        </is>
      </c>
      <c r="O121" s="14" t="inlineStr">
        <is>
          <t>Great</t>
        </is>
      </c>
      <c r="P121" s="22" t="n"/>
      <c r="Q121" s="22" t="n">
        <v>531</v>
      </c>
      <c r="R121" s="30" t="n">
        <v>30</v>
      </c>
      <c r="S121" s="14" t="b">
        <v>0</v>
      </c>
      <c r="T121" s="14" t="n">
        <v>1</v>
      </c>
      <c r="U121" s="14" t="b">
        <v>0</v>
      </c>
      <c r="V121" s="30" t="n"/>
      <c r="W121" s="30" t="n">
        <v>3</v>
      </c>
      <c r="X121" s="14" t="n"/>
      <c r="Y121" s="14" t="inlineStr"/>
      <c r="Z121" s="38" t="inlineStr">
        <is>
          <t>open</t>
        </is>
      </c>
    </row>
    <row r="122">
      <c r="B122" s="31" t="b">
        <v>0</v>
      </c>
      <c r="C122" s="31" t="inlineStr">
        <is>
          <t>accident</t>
        </is>
      </c>
      <c r="D122" s="21" t="n"/>
      <c r="E122" s="14" t="inlineStr">
        <is>
          <t>KBB</t>
        </is>
      </c>
      <c r="F122" s="14" t="inlineStr">
        <is>
          <t>Cars.com, Craigslist</t>
        </is>
      </c>
      <c r="G122" s="28" t="n">
        <v>2021</v>
      </c>
      <c r="H122" s="14" t="inlineStr">
        <is>
          <t>Touring</t>
        </is>
      </c>
      <c r="I122" s="30" t="n">
        <v>42665</v>
      </c>
      <c r="J122" s="22" t="n">
        <v>22900</v>
      </c>
      <c r="K122" s="14" t="inlineStr">
        <is>
          <t>Royal Moore Auto Center</t>
        </is>
      </c>
      <c r="L122" s="14" t="inlineStr">
        <is>
          <t>Hillsboro</t>
        </is>
      </c>
      <c r="M122" s="14" t="inlineStr">
        <is>
          <t>OR</t>
        </is>
      </c>
      <c r="N122" s="14" t="inlineStr">
        <is>
          <t>JM3KFBCM5M0445400</t>
        </is>
      </c>
      <c r="O122" s="14" t="n"/>
      <c r="P122" s="22" t="n"/>
      <c r="Q122" s="22" t="n">
        <v>2500</v>
      </c>
      <c r="R122" s="30" t="n">
        <v>36</v>
      </c>
      <c r="S122" s="14" t="b">
        <v>0</v>
      </c>
      <c r="T122" s="14" t="n">
        <v>1</v>
      </c>
      <c r="U122" s="14" t="b">
        <v>0</v>
      </c>
      <c r="V122" s="30" t="n"/>
      <c r="W122" s="30" t="n">
        <v>3</v>
      </c>
      <c r="X122" s="14" t="n"/>
      <c r="Y122" s="14" t="inlineStr"/>
      <c r="Z122" s="38" t="inlineStr">
        <is>
          <t>open</t>
        </is>
      </c>
    </row>
    <row r="123">
      <c r="B123" s="31" t="b">
        <v>0</v>
      </c>
      <c r="C123" s="31" t="inlineStr">
        <is>
          <t>unwanted trim</t>
        </is>
      </c>
      <c r="D123" s="21" t="n"/>
      <c r="E123" s="14" t="inlineStr">
        <is>
          <t>KBB</t>
        </is>
      </c>
      <c r="F123" s="14" t="inlineStr">
        <is>
          <t>TrueCar</t>
        </is>
      </c>
      <c r="G123" s="28" t="n">
        <v>2022</v>
      </c>
      <c r="H123" s="14" t="inlineStr">
        <is>
          <t>AWD 2.5 S w/ Select Package</t>
        </is>
      </c>
      <c r="I123" s="30" t="n">
        <v>48468</v>
      </c>
      <c r="J123" s="22" t="n">
        <v>24380</v>
      </c>
      <c r="K123" s="14" t="inlineStr">
        <is>
          <t>West Hills Mazda</t>
        </is>
      </c>
      <c r="L123" s="14" t="inlineStr">
        <is>
          <t>Bremerton</t>
        </is>
      </c>
      <c r="M123" s="14" t="inlineStr">
        <is>
          <t>WA</t>
        </is>
      </c>
      <c r="N123" s="14" t="inlineStr">
        <is>
          <t>JM3KFBBM6N0609045</t>
        </is>
      </c>
      <c r="O123" s="14" t="n"/>
      <c r="P123" s="22" t="n"/>
      <c r="Q123" s="22" t="n">
        <v>-1130</v>
      </c>
      <c r="R123" s="30" t="n">
        <v>16</v>
      </c>
      <c r="S123" s="14" t="b">
        <v>0</v>
      </c>
      <c r="T123" s="14" t="n">
        <v>0</v>
      </c>
      <c r="U123" s="14" t="b">
        <v>1</v>
      </c>
      <c r="V123" s="30" t="n"/>
      <c r="W123" s="30" t="n">
        <v>2</v>
      </c>
      <c r="X123" s="14" t="n"/>
      <c r="Y123" s="14" t="inlineStr"/>
      <c r="Z123" s="38" t="inlineStr">
        <is>
          <t>open</t>
        </is>
      </c>
    </row>
    <row r="124">
      <c r="B124" s="31" t="b">
        <v>0</v>
      </c>
      <c r="C124" s="31" t="inlineStr">
        <is>
          <t>accident</t>
        </is>
      </c>
      <c r="D124" s="21" t="n"/>
      <c r="E124" s="14" t="inlineStr">
        <is>
          <t>CarGurus</t>
        </is>
      </c>
      <c r="F124" s="14" t="inlineStr">
        <is>
          <t>KBB</t>
        </is>
      </c>
      <c r="G124" s="28" t="n">
        <v>2021</v>
      </c>
      <c r="H124" s="14" t="inlineStr">
        <is>
          <t>Carbon Edition Turbo AWD</t>
        </is>
      </c>
      <c r="I124" s="30" t="n">
        <v>45299</v>
      </c>
      <c r="J124" s="22" t="n">
        <v>28099</v>
      </c>
      <c r="K124" s="14" t="inlineStr">
        <is>
          <t>Toyota of Tacoma</t>
        </is>
      </c>
      <c r="L124" s="14" t="inlineStr">
        <is>
          <t>Tacoma</t>
        </is>
      </c>
      <c r="M124" s="14" t="inlineStr">
        <is>
          <t>WA</t>
        </is>
      </c>
      <c r="N124" s="14" t="inlineStr">
        <is>
          <t>JM3KFBCY0M0407785</t>
        </is>
      </c>
      <c r="O124" s="14" t="inlineStr">
        <is>
          <t>High Price</t>
        </is>
      </c>
      <c r="P124" s="22" t="n">
        <v>-2135</v>
      </c>
      <c r="Q124" s="22" t="n">
        <v>340</v>
      </c>
      <c r="R124" s="30" t="n">
        <v>18</v>
      </c>
      <c r="S124" s="14" t="b">
        <v>1</v>
      </c>
      <c r="T124" s="14" t="n">
        <v>1</v>
      </c>
      <c r="U124" s="14" t="b">
        <v>0</v>
      </c>
      <c r="V124" s="30" t="n">
        <v>44</v>
      </c>
      <c r="W124" s="30" t="n"/>
      <c r="X124" s="14" t="n"/>
      <c r="Y124" s="14" t="inlineStr"/>
      <c r="Z124" s="38" t="inlineStr">
        <is>
          <t>open</t>
        </is>
      </c>
    </row>
    <row r="125">
      <c r="B125" s="31" t="b">
        <v>0</v>
      </c>
      <c r="C125" s="31" t="inlineStr">
        <is>
          <t>accident</t>
        </is>
      </c>
      <c r="D125" s="21" t="n"/>
      <c r="E125" s="14" t="inlineStr">
        <is>
          <t>CarGurus</t>
        </is>
      </c>
      <c r="F125" s="14" t="inlineStr">
        <is>
          <t>KBB</t>
        </is>
      </c>
      <c r="G125" s="28" t="n">
        <v>2021</v>
      </c>
      <c r="H125" s="14" t="inlineStr">
        <is>
          <t>Signature AWD</t>
        </is>
      </c>
      <c r="I125" s="30" t="n">
        <v>44796</v>
      </c>
      <c r="J125" s="22" t="n">
        <v>24490</v>
      </c>
      <c r="K125" s="14" t="inlineStr">
        <is>
          <t>Rairdon's Dodge Chrysler Jeep Ram of Monroe</t>
        </is>
      </c>
      <c r="L125" s="14" t="inlineStr">
        <is>
          <t>Monroe</t>
        </is>
      </c>
      <c r="M125" s="14" t="inlineStr">
        <is>
          <t>WA</t>
        </is>
      </c>
      <c r="N125" s="14" t="inlineStr">
        <is>
          <t>JM3KFBEY6M0376152</t>
        </is>
      </c>
      <c r="O125" s="14" t="inlineStr">
        <is>
          <t>Great Deal</t>
        </is>
      </c>
      <c r="P125" s="22" t="n">
        <v>1924</v>
      </c>
      <c r="Q125" s="22" t="n">
        <v>310</v>
      </c>
      <c r="R125" s="30" t="n">
        <v>19</v>
      </c>
      <c r="S125" s="14" t="b">
        <v>1</v>
      </c>
      <c r="T125" s="14" t="n">
        <v>1</v>
      </c>
      <c r="U125" s="14" t="b">
        <v>0</v>
      </c>
      <c r="V125" s="30" t="n">
        <v>33</v>
      </c>
      <c r="W125" s="30" t="n"/>
      <c r="X125" s="14" t="n"/>
      <c r="Y125" s="14" t="inlineStr"/>
      <c r="Z125" s="38" t="inlineStr">
        <is>
          <t>open</t>
        </is>
      </c>
    </row>
    <row r="126">
      <c r="B126" s="31" t="b">
        <v>0</v>
      </c>
      <c r="C126" s="31" t="inlineStr">
        <is>
          <t>unwanted trim</t>
        </is>
      </c>
      <c r="D126" s="21" t="n"/>
      <c r="E126" s="14" t="inlineStr">
        <is>
          <t>KBB</t>
        </is>
      </c>
      <c r="F126" s="14" t="inlineStr">
        <is>
          <t>TrueCar</t>
        </is>
      </c>
      <c r="G126" s="28" t="n">
        <v>2023</v>
      </c>
      <c r="H126" s="14" t="inlineStr">
        <is>
          <t>AWD 2.5 S w/ Select Package</t>
        </is>
      </c>
      <c r="I126" s="30" t="n">
        <v>48998</v>
      </c>
      <c r="J126" s="22" t="n">
        <v>23999</v>
      </c>
      <c r="K126" s="14" t="inlineStr">
        <is>
          <t>Peninsula Subaru</t>
        </is>
      </c>
      <c r="L126" s="14" t="inlineStr">
        <is>
          <t>Bremerton</t>
        </is>
      </c>
      <c r="M126" s="14" t="inlineStr">
        <is>
          <t>WA</t>
        </is>
      </c>
      <c r="N126" s="14" t="inlineStr">
        <is>
          <t>JM3KFBBM5P0290174</t>
        </is>
      </c>
      <c r="O126" s="14" t="inlineStr">
        <is>
          <t>Good</t>
        </is>
      </c>
      <c r="P126" s="22" t="n"/>
      <c r="Q126" s="22" t="n">
        <v>-359</v>
      </c>
      <c r="R126" s="30" t="n">
        <v>20</v>
      </c>
      <c r="S126" s="14" t="b">
        <v>1</v>
      </c>
      <c r="T126" s="14" t="n">
        <v>0</v>
      </c>
      <c r="U126" s="14" t="b">
        <v>0</v>
      </c>
      <c r="V126" s="30" t="n"/>
      <c r="W126" s="30" t="n"/>
      <c r="X126" s="14" t="n"/>
      <c r="Y126" s="14" t="inlineStr"/>
      <c r="Z126" s="38" t="inlineStr">
        <is>
          <t>open</t>
        </is>
      </c>
    </row>
    <row r="127">
      <c r="B127" s="31" t="b">
        <v>0</v>
      </c>
      <c r="C127" s="31" t="inlineStr">
        <is>
          <t>accident</t>
        </is>
      </c>
      <c r="D127" s="21" t="n"/>
      <c r="E127" s="14" t="inlineStr">
        <is>
          <t>CarGurus</t>
        </is>
      </c>
      <c r="F127" s="14" t="inlineStr"/>
      <c r="G127" s="28" t="n">
        <v>2021</v>
      </c>
      <c r="H127" s="14" t="inlineStr">
        <is>
          <t>Grand Touring AWD</t>
        </is>
      </c>
      <c r="I127" s="30" t="n">
        <v>15281</v>
      </c>
      <c r="J127" s="22" t="n">
        <v>27282</v>
      </c>
      <c r="K127" s="14" t="inlineStr">
        <is>
          <t>South Tacoma Mazda</t>
        </is>
      </c>
      <c r="L127" s="14" t="inlineStr">
        <is>
          <t>Tacoma</t>
        </is>
      </c>
      <c r="M127" s="14" t="inlineStr">
        <is>
          <t>WA</t>
        </is>
      </c>
      <c r="N127" s="14" t="inlineStr">
        <is>
          <t>JM3KFBDM1M1458430</t>
        </is>
      </c>
      <c r="O127" s="14" t="inlineStr">
        <is>
          <t>Good Deal</t>
        </is>
      </c>
      <c r="P127" s="22" t="n">
        <v>676</v>
      </c>
      <c r="Q127" s="22" t="n"/>
      <c r="R127" s="30" t="n">
        <v>24</v>
      </c>
      <c r="S127" s="14" t="b">
        <v>1</v>
      </c>
      <c r="T127" s="14" t="n">
        <v>1</v>
      </c>
      <c r="U127" s="14" t="b">
        <v>0</v>
      </c>
      <c r="V127" s="30" t="n">
        <v>40</v>
      </c>
      <c r="W127" s="30" t="n"/>
      <c r="X127" s="14" t="n"/>
      <c r="Y127" s="14" t="inlineStr"/>
      <c r="Z127" s="38" t="inlineStr">
        <is>
          <t>open</t>
        </is>
      </c>
    </row>
    <row r="128">
      <c r="B128" s="31" t="b">
        <v>0</v>
      </c>
      <c r="C128" s="31" t="inlineStr">
        <is>
          <t>&lt;6 photos</t>
        </is>
      </c>
      <c r="D128" s="21" t="n"/>
      <c r="E128" s="14" t="inlineStr">
        <is>
          <t>CarGurus</t>
        </is>
      </c>
      <c r="F128" s="14" t="inlineStr">
        <is>
          <t>KBB, iSeeCars</t>
        </is>
      </c>
      <c r="G128" s="28" t="n">
        <v>2023</v>
      </c>
      <c r="H128" s="14" t="inlineStr">
        <is>
          <t>2.5 S Preferred AWD</t>
        </is>
      </c>
      <c r="I128" s="30" t="n">
        <v>36400</v>
      </c>
      <c r="J128" s="22" t="n">
        <v>26548</v>
      </c>
      <c r="K128" s="14" t="inlineStr">
        <is>
          <t>Lee Johnson Mazda of Seattle</t>
        </is>
      </c>
      <c r="L128" s="14" t="inlineStr">
        <is>
          <t>Seattle</t>
        </is>
      </c>
      <c r="M128" s="14" t="inlineStr">
        <is>
          <t>WA</t>
        </is>
      </c>
      <c r="N128" s="14" t="inlineStr">
        <is>
          <t>JM3KFBCM7P0256994</t>
        </is>
      </c>
      <c r="O128" s="14" t="inlineStr">
        <is>
          <t>Fair Deal</t>
        </is>
      </c>
      <c r="P128" s="22" t="n">
        <v>-311</v>
      </c>
      <c r="Q128" s="22" t="n">
        <v>-1068</v>
      </c>
      <c r="R128" s="30" t="n">
        <v>28</v>
      </c>
      <c r="S128" s="14" t="b">
        <v>1</v>
      </c>
      <c r="T128" s="14" t="n">
        <v>0</v>
      </c>
      <c r="U128" s="14" t="b">
        <v>0</v>
      </c>
      <c r="V128" s="30" t="n">
        <v>0</v>
      </c>
      <c r="W128" s="30" t="n">
        <v>3</v>
      </c>
      <c r="X128" s="14" t="n"/>
      <c r="Y128" s="14" t="inlineStr"/>
      <c r="Z128" s="38" t="inlineStr">
        <is>
          <t>open</t>
        </is>
      </c>
    </row>
    <row r="129">
      <c r="B129" s="31" t="b">
        <v>0</v>
      </c>
      <c r="C129" s="31" t="inlineStr">
        <is>
          <t>unwanted trim</t>
        </is>
      </c>
      <c r="D129" s="21" t="n"/>
      <c r="E129" s="14" t="inlineStr">
        <is>
          <t>TrueCar</t>
        </is>
      </c>
      <c r="F129" s="14" t="inlineStr"/>
      <c r="G129" s="28" t="n">
        <v>2021</v>
      </c>
      <c r="H129" s="14" t="inlineStr">
        <is>
          <t>Sport</t>
        </is>
      </c>
      <c r="I129" s="30" t="n">
        <v>22873</v>
      </c>
      <c r="J129" s="22" t="n">
        <v>25998</v>
      </c>
      <c r="K129" s="14" t="inlineStr">
        <is>
          <t>Carmax Beaverton</t>
        </is>
      </c>
      <c r="L129" s="14" t="inlineStr">
        <is>
          <t>Beaverton</t>
        </is>
      </c>
      <c r="M129" s="14" t="inlineStr">
        <is>
          <t>OR</t>
        </is>
      </c>
      <c r="N129" s="14" t="inlineStr">
        <is>
          <t>JM3KFBBM8M1316952</t>
        </is>
      </c>
      <c r="O129" s="14" t="n"/>
      <c r="P129" s="22" t="n"/>
      <c r="Q129" s="22" t="n"/>
      <c r="R129" s="30" t="n"/>
      <c r="S129" s="14" t="n"/>
      <c r="T129" s="14" t="n"/>
      <c r="U129" s="14" t="n"/>
      <c r="V129" s="30" t="n"/>
      <c r="W129" s="30" t="n"/>
      <c r="X129" s="14" t="n"/>
      <c r="Y129" s="14" t="inlineStr"/>
      <c r="Z129" s="38" t="inlineStr">
        <is>
          <t>open</t>
        </is>
      </c>
    </row>
    <row r="130">
      <c r="B130" s="31" t="b">
        <v>0</v>
      </c>
      <c r="C130" s="31" t="inlineStr">
        <is>
          <t>&lt;6 photos</t>
        </is>
      </c>
      <c r="D130" s="21" t="n"/>
      <c r="E130" s="14" t="inlineStr">
        <is>
          <t>CarGurus</t>
        </is>
      </c>
      <c r="F130" s="14" t="inlineStr">
        <is>
          <t>iSeeCars</t>
        </is>
      </c>
      <c r="G130" s="28" t="n">
        <v>2021</v>
      </c>
      <c r="H130" s="14" t="inlineStr">
        <is>
          <t>Grand Touring FWD</t>
        </is>
      </c>
      <c r="I130" s="30" t="n">
        <v>44681</v>
      </c>
      <c r="J130" s="22" t="n">
        <v>25187</v>
      </c>
      <c r="K130" s="14" t="inlineStr">
        <is>
          <t>Alan Webb Mazda</t>
        </is>
      </c>
      <c r="L130" s="14" t="inlineStr">
        <is>
          <t>Vancouver</t>
        </is>
      </c>
      <c r="M130" s="14" t="inlineStr">
        <is>
          <t>WA</t>
        </is>
      </c>
      <c r="N130" s="14" t="inlineStr">
        <is>
          <t>JM3KFADM4M0385585</t>
        </is>
      </c>
      <c r="O130" s="14" t="inlineStr">
        <is>
          <t>High Price</t>
        </is>
      </c>
      <c r="P130" s="22" t="n">
        <v>-1350</v>
      </c>
      <c r="Q130" s="22" t="n"/>
      <c r="R130" s="30" t="n">
        <v>8</v>
      </c>
      <c r="S130" s="14" t="b">
        <v>1</v>
      </c>
      <c r="T130" s="14" t="n">
        <v>0</v>
      </c>
      <c r="U130" s="14" t="b">
        <v>0</v>
      </c>
      <c r="V130" s="30" t="n">
        <v>5</v>
      </c>
      <c r="W130" s="30" t="n"/>
      <c r="X130" s="14" t="n"/>
      <c r="Y130" s="14" t="inlineStr"/>
      <c r="Z130" s="38" t="inlineStr">
        <is>
          <t>open</t>
        </is>
      </c>
    </row>
    <row r="131">
      <c r="B131" s="31" t="b">
        <v>0</v>
      </c>
      <c r="C131" s="31" t="inlineStr">
        <is>
          <t>&lt;6 photos</t>
        </is>
      </c>
      <c r="D131" s="21" t="n"/>
      <c r="E131" s="14" t="inlineStr">
        <is>
          <t>CarGurus</t>
        </is>
      </c>
      <c r="F131" s="14" t="inlineStr">
        <is>
          <t>KBB</t>
        </is>
      </c>
      <c r="G131" s="28" t="n">
        <v>2021</v>
      </c>
      <c r="H131" s="14" t="inlineStr">
        <is>
          <t>Grand Touring AWD</t>
        </is>
      </c>
      <c r="I131" s="30" t="n">
        <v>46380</v>
      </c>
      <c r="J131" s="22" t="n">
        <v>24995</v>
      </c>
      <c r="K131" s="14" t="inlineStr">
        <is>
          <t>Sherrell Chevrolet Incorporated</t>
        </is>
      </c>
      <c r="L131" s="14" t="inlineStr">
        <is>
          <t>Hermiston</t>
        </is>
      </c>
      <c r="M131" s="14" t="inlineStr">
        <is>
          <t>OR</t>
        </is>
      </c>
      <c r="N131" s="14" t="inlineStr">
        <is>
          <t>JM3KFBDM1M1118680</t>
        </is>
      </c>
      <c r="O131" s="14" t="inlineStr">
        <is>
          <t>Good Deal</t>
        </is>
      </c>
      <c r="P131" s="22" t="n">
        <v>527</v>
      </c>
      <c r="Q131" s="22" t="n">
        <v>1505</v>
      </c>
      <c r="R131" s="30" t="n">
        <v>27</v>
      </c>
      <c r="S131" s="14" t="b">
        <v>0</v>
      </c>
      <c r="T131" s="14" t="n">
        <v>0</v>
      </c>
      <c r="U131" s="14" t="b">
        <v>0</v>
      </c>
      <c r="V131" s="30" t="n">
        <v>3</v>
      </c>
      <c r="W131" s="30" t="n"/>
      <c r="X131" s="14" t="n"/>
      <c r="Y131" s="14" t="inlineStr"/>
      <c r="Z131" s="38" t="inlineStr">
        <is>
          <t>open</t>
        </is>
      </c>
    </row>
    <row r="132">
      <c r="B132" s="31" t="b">
        <v>0</v>
      </c>
      <c r="C132" s="31" t="inlineStr">
        <is>
          <t>&lt;6 photos</t>
        </is>
      </c>
      <c r="D132" s="21" t="n"/>
      <c r="E132" s="14" t="inlineStr">
        <is>
          <t>CarGurus</t>
        </is>
      </c>
      <c r="F132" s="14" t="inlineStr"/>
      <c r="G132" s="28" t="n">
        <v>2023</v>
      </c>
      <c r="H132" s="14" t="inlineStr">
        <is>
          <t>2.5 S Preferred AWD</t>
        </is>
      </c>
      <c r="I132" s="30" t="n">
        <v>26415</v>
      </c>
      <c r="J132" s="22" t="n">
        <v>26701</v>
      </c>
      <c r="K132" s="14" t="inlineStr">
        <is>
          <t>Spokane Hyundai</t>
        </is>
      </c>
      <c r="L132" s="14" t="inlineStr">
        <is>
          <t>Spokane Valley</t>
        </is>
      </c>
      <c r="M132" s="14" t="inlineStr">
        <is>
          <t>WA</t>
        </is>
      </c>
      <c r="N132" s="14" t="inlineStr">
        <is>
          <t>JM3KFBCM3P0270293</t>
        </is>
      </c>
      <c r="O132" s="14" t="inlineStr">
        <is>
          <t>Good Deal</t>
        </is>
      </c>
      <c r="P132" s="22" t="n">
        <v>614</v>
      </c>
      <c r="Q132" s="22" t="n"/>
      <c r="R132" s="30" t="n">
        <v>16</v>
      </c>
      <c r="S132" s="14" t="b">
        <v>1</v>
      </c>
      <c r="T132" s="14" t="n">
        <v>0</v>
      </c>
      <c r="U132" s="14" t="b">
        <v>0</v>
      </c>
      <c r="V132" s="30" t="n">
        <v>0</v>
      </c>
      <c r="W132" s="30" t="n"/>
      <c r="X132" s="14" t="n"/>
      <c r="Y132" s="14" t="inlineStr"/>
      <c r="Z132" s="38" t="inlineStr">
        <is>
          <t>open</t>
        </is>
      </c>
    </row>
    <row r="133">
      <c r="B133" s="31" t="b">
        <v>0</v>
      </c>
      <c r="C133" s="31" t="inlineStr">
        <is>
          <t>unwanted trim</t>
        </is>
      </c>
      <c r="D133" s="21" t="n"/>
      <c r="E133" s="14" t="inlineStr">
        <is>
          <t>CarGurus</t>
        </is>
      </c>
      <c r="F133" s="14" t="inlineStr">
        <is>
          <t>KBB</t>
        </is>
      </c>
      <c r="G133" s="28" t="n">
        <v>2022</v>
      </c>
      <c r="H133" s="14" t="inlineStr">
        <is>
          <t>2.5 S Select AWD</t>
        </is>
      </c>
      <c r="I133" s="30" t="n">
        <v>31379</v>
      </c>
      <c r="J133" s="22" t="n">
        <v>24694</v>
      </c>
      <c r="K133" s="14" t="inlineStr">
        <is>
          <t>Gresham Toyota</t>
        </is>
      </c>
      <c r="L133" s="14" t="inlineStr">
        <is>
          <t>Gresham</t>
        </is>
      </c>
      <c r="M133" s="14" t="inlineStr">
        <is>
          <t>OR</t>
        </is>
      </c>
      <c r="N133" s="14" t="inlineStr">
        <is>
          <t>JM3KFBBM2N0541519</t>
        </is>
      </c>
      <c r="O133" s="14" t="inlineStr">
        <is>
          <t>Fair Deal</t>
        </is>
      </c>
      <c r="P133" s="22" t="n">
        <v>-55</v>
      </c>
      <c r="Q133" s="22" t="n">
        <v>-724</v>
      </c>
      <c r="R133" s="30" t="n">
        <v>17</v>
      </c>
      <c r="S133" s="14" t="b">
        <v>1</v>
      </c>
      <c r="T133" s="14" t="n">
        <v>0</v>
      </c>
      <c r="U133" s="14" t="b">
        <v>0</v>
      </c>
      <c r="V133" s="30" t="n">
        <v>34</v>
      </c>
      <c r="W133" s="30" t="n">
        <v>3</v>
      </c>
      <c r="X133" s="14" t="n"/>
      <c r="Y133" s="14" t="inlineStr"/>
      <c r="Z133" s="38" t="inlineStr">
        <is>
          <t>open</t>
        </is>
      </c>
    </row>
    <row r="134">
      <c r="B134" s="31" t="b">
        <v>0</v>
      </c>
      <c r="C134" s="31" t="inlineStr">
        <is>
          <t>accident</t>
        </is>
      </c>
      <c r="D134" s="21" t="n"/>
      <c r="E134" s="14" t="inlineStr">
        <is>
          <t>CarGurus</t>
        </is>
      </c>
      <c r="F134" s="14" t="inlineStr">
        <is>
          <t>CarMax, iSeeCars</t>
        </is>
      </c>
      <c r="G134" s="28" t="n">
        <v>2022</v>
      </c>
      <c r="H134" s="14" t="inlineStr">
        <is>
          <t>2.5 S Preferred AWD</t>
        </is>
      </c>
      <c r="I134" s="30" t="n">
        <v>33943</v>
      </c>
      <c r="J134" s="22" t="n">
        <v>24998</v>
      </c>
      <c r="K134" s="14" t="inlineStr">
        <is>
          <t>CarMax Beaverton</t>
        </is>
      </c>
      <c r="L134" s="14" t="inlineStr">
        <is>
          <t>Beaverton</t>
        </is>
      </c>
      <c r="M134" s="14" t="inlineStr">
        <is>
          <t>OR</t>
        </is>
      </c>
      <c r="N134" s="14" t="inlineStr">
        <is>
          <t>JM3KFBCM0N1581199</t>
        </is>
      </c>
      <c r="O134" s="14" t="inlineStr">
        <is>
          <t>Good Deal</t>
        </is>
      </c>
      <c r="P134" s="22" t="n">
        <v>701</v>
      </c>
      <c r="Q134" s="22" t="n"/>
      <c r="R134" s="30" t="n">
        <v>30</v>
      </c>
      <c r="S134" s="14" t="b">
        <v>0</v>
      </c>
      <c r="T134" s="14" t="n">
        <v>1</v>
      </c>
      <c r="U134" s="14" t="b">
        <v>0</v>
      </c>
      <c r="V134" s="30" t="n">
        <v>27</v>
      </c>
      <c r="W134" s="30" t="n"/>
      <c r="X134" s="14" t="n"/>
      <c r="Y134" s="14" t="inlineStr">
        <is>
          <t>xfer $149</t>
        </is>
      </c>
      <c r="Z134" s="38" t="inlineStr">
        <is>
          <t>open</t>
        </is>
      </c>
    </row>
    <row r="135">
      <c r="B135" s="31" t="b">
        <v>0</v>
      </c>
      <c r="C135" s="31" t="inlineStr">
        <is>
          <t>accident</t>
        </is>
      </c>
      <c r="D135" s="21" t="n"/>
      <c r="E135" s="14" t="inlineStr">
        <is>
          <t>CarGurus</t>
        </is>
      </c>
      <c r="F135" s="14" t="inlineStr">
        <is>
          <t>CarMax, iSeeCars</t>
        </is>
      </c>
      <c r="G135" s="28" t="n">
        <v>2021</v>
      </c>
      <c r="H135" s="14" t="inlineStr">
        <is>
          <t>Grand Touring FWD</t>
        </is>
      </c>
      <c r="I135" s="30" t="n">
        <v>38947</v>
      </c>
      <c r="J135" s="22" t="n">
        <v>23998</v>
      </c>
      <c r="K135" s="14" t="inlineStr">
        <is>
          <t>CarMax Salem</t>
        </is>
      </c>
      <c r="L135" s="14" t="inlineStr">
        <is>
          <t>Salem</t>
        </is>
      </c>
      <c r="M135" s="14" t="inlineStr">
        <is>
          <t>OR</t>
        </is>
      </c>
      <c r="N135" s="14" t="inlineStr">
        <is>
          <t>JM3KFADM0M0301598</t>
        </is>
      </c>
      <c r="O135" s="14" t="inlineStr">
        <is>
          <t>Good Deal</t>
        </is>
      </c>
      <c r="P135" s="22" t="n">
        <v>538</v>
      </c>
      <c r="Q135" s="22" t="n"/>
      <c r="R135" s="30" t="n">
        <v>32</v>
      </c>
      <c r="S135" s="14" t="b">
        <v>0</v>
      </c>
      <c r="T135" s="14" t="n">
        <v>1</v>
      </c>
      <c r="U135" s="14" t="b">
        <v>0</v>
      </c>
      <c r="V135" s="30" t="n">
        <v>27</v>
      </c>
      <c r="W135" s="30" t="n"/>
      <c r="X135" s="14" t="n"/>
      <c r="Y135" s="14" t="inlineStr">
        <is>
          <t>xfer $149</t>
        </is>
      </c>
      <c r="Z135" s="38" t="inlineStr">
        <is>
          <t>open</t>
        </is>
      </c>
    </row>
    <row r="136">
      <c r="B136" s="31" t="b">
        <v>0</v>
      </c>
      <c r="C136" s="31" t="inlineStr">
        <is>
          <t>unwanted trim</t>
        </is>
      </c>
      <c r="D136" s="21" t="n"/>
      <c r="E136" s="14" t="inlineStr">
        <is>
          <t>CarGurus</t>
        </is>
      </c>
      <c r="F136" s="14" t="inlineStr">
        <is>
          <t>KBB, iSeeCars</t>
        </is>
      </c>
      <c r="G136" s="28" t="n">
        <v>2023</v>
      </c>
      <c r="H136" s="14" t="inlineStr">
        <is>
          <t>2.5 S Select AWD</t>
        </is>
      </c>
      <c r="I136" s="30" t="n">
        <v>47748</v>
      </c>
      <c r="J136" s="22" t="n">
        <v>23574</v>
      </c>
      <c r="K136" s="14" t="inlineStr">
        <is>
          <t>Dick Hannah Nissan</t>
        </is>
      </c>
      <c r="L136" s="14" t="inlineStr">
        <is>
          <t>Gladstone</t>
        </is>
      </c>
      <c r="M136" s="14" t="inlineStr">
        <is>
          <t>OR</t>
        </is>
      </c>
      <c r="N136" s="14" t="inlineStr">
        <is>
          <t>JM3KFBBM9P0256139</t>
        </is>
      </c>
      <c r="O136" s="14" t="inlineStr">
        <is>
          <t>Good Deal</t>
        </is>
      </c>
      <c r="P136" s="22" t="n">
        <v>935</v>
      </c>
      <c r="Q136" s="22" t="n">
        <v>-214</v>
      </c>
      <c r="R136" s="30" t="n">
        <v>44</v>
      </c>
      <c r="S136" s="14" t="b">
        <v>1</v>
      </c>
      <c r="T136" s="14" t="n">
        <v>0</v>
      </c>
      <c r="U136" s="14" t="b">
        <v>0</v>
      </c>
      <c r="V136" s="30" t="n">
        <v>27</v>
      </c>
      <c r="W136" s="30" t="n">
        <v>3</v>
      </c>
      <c r="X136" s="14" t="n"/>
      <c r="Y136" s="14" t="inlineStr"/>
      <c r="Z136" s="38" t="inlineStr">
        <is>
          <t>open</t>
        </is>
      </c>
    </row>
    <row r="137">
      <c r="B137" s="31" t="b">
        <v>0</v>
      </c>
      <c r="C137" s="31" t="inlineStr">
        <is>
          <t>fleet/rental, accident</t>
        </is>
      </c>
      <c r="D137" s="21" t="n"/>
      <c r="E137" s="14" t="inlineStr">
        <is>
          <t>CarGurus</t>
        </is>
      </c>
      <c r="F137" s="14" t="inlineStr">
        <is>
          <t>Craigslist</t>
        </is>
      </c>
      <c r="G137" s="28" t="n">
        <v>2023</v>
      </c>
      <c r="H137" s="14" t="inlineStr">
        <is>
          <t>2.5 S Preferred AWD</t>
        </is>
      </c>
      <c r="I137" s="30" t="n">
        <v>38183</v>
      </c>
      <c r="J137" s="22" t="n">
        <v>25187</v>
      </c>
      <c r="K137" s="14" t="inlineStr">
        <is>
          <t>Discovery Plus Motors, LLC</t>
        </is>
      </c>
      <c r="L137" s="14" t="inlineStr">
        <is>
          <t>Hillsboro</t>
        </is>
      </c>
      <c r="M137" s="14" t="inlineStr">
        <is>
          <t>OR</t>
        </is>
      </c>
      <c r="N137" s="14" t="inlineStr">
        <is>
          <t>JM3KFBCM1P0269370</t>
        </is>
      </c>
      <c r="O137" s="14" t="inlineStr">
        <is>
          <t>Good Deal</t>
        </is>
      </c>
      <c r="P137" s="22" t="n">
        <v>322</v>
      </c>
      <c r="Q137" s="22" t="n"/>
      <c r="R137" s="30" t="n">
        <v>142</v>
      </c>
      <c r="S137" s="14" t="b">
        <v>1</v>
      </c>
      <c r="T137" s="14" t="n">
        <v>1</v>
      </c>
      <c r="U137" s="14" t="b">
        <v>0</v>
      </c>
      <c r="V137" s="30" t="n">
        <v>28</v>
      </c>
      <c r="W137" s="30" t="n"/>
      <c r="X137" s="14" t="n"/>
      <c r="Y137" s="14" t="inlineStr"/>
      <c r="Z137" s="38" t="inlineStr">
        <is>
          <t>open</t>
        </is>
      </c>
    </row>
    <row r="138">
      <c r="B138" s="31" t="b">
        <v>0</v>
      </c>
      <c r="C138" s="31" t="inlineStr">
        <is>
          <t>unwanted trim</t>
        </is>
      </c>
      <c r="D138" s="21" t="n"/>
      <c r="E138" s="14" t="inlineStr">
        <is>
          <t>Cars.com</t>
        </is>
      </c>
      <c r="F138" s="14" t="inlineStr"/>
      <c r="G138" s="28" t="n">
        <v>2023</v>
      </c>
      <c r="H138" s="14" t="inlineStr">
        <is>
          <t>2.5 S Select Package</t>
        </is>
      </c>
      <c r="I138" s="30" t="n">
        <v>40340</v>
      </c>
      <c r="J138" s="22" t="n">
        <v>24398</v>
      </c>
      <c r="K138" s="14" t="inlineStr">
        <is>
          <t>George Gee Coeur D'alene</t>
        </is>
      </c>
      <c r="L138" s="14" t="inlineStr">
        <is>
          <t>Coeur D'alene</t>
        </is>
      </c>
      <c r="M138" s="14" t="inlineStr">
        <is>
          <t>ID</t>
        </is>
      </c>
      <c r="N138" s="14" t="inlineStr">
        <is>
          <t>JM3KFBBM9P0174878</t>
        </is>
      </c>
      <c r="O138" s="14" t="inlineStr">
        <is>
          <t>Good Deal</t>
        </is>
      </c>
      <c r="P138" s="22" t="n"/>
      <c r="Q138" s="22" t="n"/>
      <c r="R138" s="30" t="n"/>
      <c r="S138" s="14" t="n"/>
      <c r="T138" s="14" t="n"/>
      <c r="U138" s="14" t="n"/>
      <c r="V138" s="30" t="n"/>
      <c r="W138" s="30" t="n"/>
      <c r="X138" s="14" t="n"/>
      <c r="Y138" s="14" t="inlineStr"/>
      <c r="Z138" s="38" t="inlineStr">
        <is>
          <t>open</t>
        </is>
      </c>
    </row>
    <row r="139">
      <c r="B139" s="31" t="b">
        <v>0</v>
      </c>
      <c r="C139" s="31" t="inlineStr">
        <is>
          <t>accident, frame</t>
        </is>
      </c>
      <c r="D139" s="21" t="n"/>
      <c r="E139" s="14" t="inlineStr">
        <is>
          <t>CarGurus</t>
        </is>
      </c>
      <c r="F139" s="14" t="inlineStr"/>
      <c r="G139" s="28" t="n">
        <v>2021</v>
      </c>
      <c r="H139" s="14" t="inlineStr">
        <is>
          <t>Touring FWD</t>
        </is>
      </c>
      <c r="I139" s="30" t="n">
        <v>20269</v>
      </c>
      <c r="J139" s="22" t="n">
        <v>24900</v>
      </c>
      <c r="K139" s="14" t="inlineStr">
        <is>
          <t>Bay Area CDJR</t>
        </is>
      </c>
      <c r="L139" s="14" t="inlineStr">
        <is>
          <t>Coos Bay</t>
        </is>
      </c>
      <c r="M139" s="14" t="inlineStr">
        <is>
          <t>OR</t>
        </is>
      </c>
      <c r="N139" s="14" t="inlineStr">
        <is>
          <t>JM3KFACM8M1312473</t>
        </is>
      </c>
      <c r="O139" s="14" t="inlineStr">
        <is>
          <t>No Price Analysis</t>
        </is>
      </c>
      <c r="P139" s="22" t="n"/>
      <c r="Q139" s="22" t="n"/>
      <c r="R139" s="30" t="n">
        <v>279</v>
      </c>
      <c r="S139" s="14" t="b">
        <v>0</v>
      </c>
      <c r="T139" s="14" t="n">
        <v>2</v>
      </c>
      <c r="U139" s="14" t="b">
        <v>0</v>
      </c>
      <c r="V139" s="30" t="n">
        <v>21</v>
      </c>
      <c r="W139" s="30" t="n"/>
      <c r="X139" s="14" t="n"/>
      <c r="Y139" s="14" t="inlineStr"/>
      <c r="Z139" s="38" t="inlineStr">
        <is>
          <t>open</t>
        </is>
      </c>
    </row>
    <row r="140">
      <c r="B140" s="31" t="b">
        <v>0</v>
      </c>
      <c r="C140" s="31" t="inlineStr">
        <is>
          <t>accident</t>
        </is>
      </c>
      <c r="D140" s="21" t="n"/>
      <c r="E140" s="14" t="inlineStr">
        <is>
          <t>CarGurus</t>
        </is>
      </c>
      <c r="F140" s="14" t="inlineStr"/>
      <c r="G140" s="28" t="n">
        <v>2021</v>
      </c>
      <c r="H140" s="14" t="inlineStr">
        <is>
          <t>Grand Touring AWD</t>
        </is>
      </c>
      <c r="I140" s="30" t="n">
        <v>16669</v>
      </c>
      <c r="J140" s="22" t="n">
        <v>27240</v>
      </c>
      <c r="K140" s="14" t="inlineStr">
        <is>
          <t>Medford Nissan</t>
        </is>
      </c>
      <c r="L140" s="14" t="inlineStr">
        <is>
          <t>Medford</t>
        </is>
      </c>
      <c r="M140" s="14" t="inlineStr">
        <is>
          <t>OR</t>
        </is>
      </c>
      <c r="N140" s="14" t="inlineStr">
        <is>
          <t>JM3KFBDM8M1408902</t>
        </is>
      </c>
      <c r="O140" s="14" t="inlineStr">
        <is>
          <t>Fair Deal</t>
        </is>
      </c>
      <c r="P140" s="22" t="n">
        <v>361</v>
      </c>
      <c r="Q140" s="22" t="n"/>
      <c r="R140" s="30" t="n">
        <v>72</v>
      </c>
      <c r="S140" s="14" t="b">
        <v>1</v>
      </c>
      <c r="T140" s="14" t="n">
        <v>1</v>
      </c>
      <c r="U140" s="14" t="b">
        <v>0</v>
      </c>
      <c r="V140" s="30" t="n">
        <v>27</v>
      </c>
      <c r="W140" s="30" t="n"/>
      <c r="X140" s="14" t="n"/>
      <c r="Y140" s="14" t="inlineStr"/>
      <c r="Z140" s="38" t="inlineStr">
        <is>
          <t>open</t>
        </is>
      </c>
    </row>
    <row r="141">
      <c r="B141" s="31" t="b">
        <v>0</v>
      </c>
      <c r="C141" s="31" t="inlineStr">
        <is>
          <t>unwanted trim</t>
        </is>
      </c>
      <c r="D141" s="21" t="n"/>
      <c r="E141" s="14" t="inlineStr">
        <is>
          <t>Carvana</t>
        </is>
      </c>
      <c r="F141" s="14" t="inlineStr"/>
      <c r="G141" s="28" t="n">
        <v>2023</v>
      </c>
      <c r="H141" s="14" t="inlineStr">
        <is>
          <t>2.5 S Sport Utility 4D</t>
        </is>
      </c>
      <c r="I141" s="30" t="n">
        <v>43353</v>
      </c>
      <c r="J141" s="22" t="n">
        <v>24590</v>
      </c>
      <c r="K141" s="14" t="n"/>
      <c r="L141" s="14" t="inlineStr">
        <is>
          <t>Colonial Heights</t>
        </is>
      </c>
      <c r="M141" s="14" t="inlineStr">
        <is>
          <t>VA</t>
        </is>
      </c>
      <c r="N141" s="14" t="inlineStr">
        <is>
          <t>JM3KFBAM9P0181458</t>
        </is>
      </c>
      <c r="O141" s="14" t="n"/>
      <c r="P141" s="22" t="n"/>
      <c r="Q141" s="22" t="n"/>
      <c r="R141" s="30" t="n"/>
      <c r="S141" s="14" t="n"/>
      <c r="T141" s="14" t="n"/>
      <c r="U141" s="14" t="n"/>
      <c r="V141" s="30" t="n"/>
      <c r="W141" s="30" t="n"/>
      <c r="X141" s="14" t="n"/>
      <c r="Y141" s="14" t="inlineStr"/>
      <c r="Z141" s="38" t="inlineStr">
        <is>
          <t>open</t>
        </is>
      </c>
    </row>
    <row r="142">
      <c r="B142" s="31" t="b">
        <v>0</v>
      </c>
      <c r="C142" s="31" t="inlineStr">
        <is>
          <t>unwanted trim</t>
        </is>
      </c>
      <c r="D142" s="21" t="n"/>
      <c r="E142" s="14" t="inlineStr">
        <is>
          <t>Carvana</t>
        </is>
      </c>
      <c r="F142" s="14" t="inlineStr"/>
      <c r="G142" s="28" t="n">
        <v>2023</v>
      </c>
      <c r="H142" s="14" t="inlineStr">
        <is>
          <t>2.5 S Preferred Sport Utility 4D</t>
        </is>
      </c>
      <c r="I142" s="30" t="n">
        <v>46265</v>
      </c>
      <c r="J142" s="22" t="n">
        <v>25590</v>
      </c>
      <c r="K142" s="14" t="n"/>
      <c r="L142" s="14" t="inlineStr">
        <is>
          <t>Lorain</t>
        </is>
      </c>
      <c r="M142" s="14" t="inlineStr">
        <is>
          <t>OH</t>
        </is>
      </c>
      <c r="N142" s="14" t="inlineStr">
        <is>
          <t>JM3KFBCM4P0200124</t>
        </is>
      </c>
      <c r="O142" s="14" t="n"/>
      <c r="P142" s="22" t="n"/>
      <c r="Q142" s="22" t="n"/>
      <c r="R142" s="30" t="n"/>
      <c r="S142" s="14" t="n"/>
      <c r="T142" s="14" t="n"/>
      <c r="U142" s="14" t="n"/>
      <c r="V142" s="30" t="n"/>
      <c r="W142" s="30" t="n"/>
      <c r="X142" s="14" t="n"/>
      <c r="Y142" s="14" t="inlineStr"/>
      <c r="Z142" s="38" t="inlineStr">
        <is>
          <t>open</t>
        </is>
      </c>
    </row>
    <row r="143">
      <c r="B143" s="31" t="b">
        <v>0</v>
      </c>
      <c r="C143" s="31" t="inlineStr">
        <is>
          <t>unwanted trim</t>
        </is>
      </c>
      <c r="D143" s="21" t="n"/>
      <c r="E143" s="14" t="inlineStr">
        <is>
          <t>Carvana</t>
        </is>
      </c>
      <c r="F143" s="14" t="inlineStr"/>
      <c r="G143" s="28" t="n">
        <v>2021</v>
      </c>
      <c r="H143" s="14" t="inlineStr">
        <is>
          <t>Grand Touring Sport Utility 4D</t>
        </is>
      </c>
      <c r="I143" s="30" t="n">
        <v>29740</v>
      </c>
      <c r="J143" s="22" t="n">
        <v>27590</v>
      </c>
      <c r="K143" s="14" t="n"/>
      <c r="L143" s="14" t="inlineStr">
        <is>
          <t>Greenfield</t>
        </is>
      </c>
      <c r="M143" s="14" t="inlineStr">
        <is>
          <t>IN</t>
        </is>
      </c>
      <c r="N143" s="14" t="inlineStr">
        <is>
          <t>JM3KFBDM2M1364220</t>
        </is>
      </c>
      <c r="O143" s="14" t="n"/>
      <c r="P143" s="22" t="n"/>
      <c r="Q143" s="22" t="n"/>
      <c r="R143" s="30" t="n"/>
      <c r="S143" s="14" t="n"/>
      <c r="T143" s="14" t="n"/>
      <c r="U143" s="14" t="n"/>
      <c r="V143" s="30" t="n"/>
      <c r="W143" s="30" t="n"/>
      <c r="X143" s="14" t="n"/>
      <c r="Y143" s="14" t="inlineStr"/>
      <c r="Z143" s="38" t="inlineStr">
        <is>
          <t>open</t>
        </is>
      </c>
    </row>
    <row r="144">
      <c r="B144" s="31" t="b">
        <v>0</v>
      </c>
      <c r="C144" s="31" t="inlineStr">
        <is>
          <t>unwanted trim</t>
        </is>
      </c>
      <c r="D144" s="21" t="n"/>
      <c r="E144" s="14" t="inlineStr">
        <is>
          <t>Carvana</t>
        </is>
      </c>
      <c r="F144" s="14" t="inlineStr"/>
      <c r="G144" s="28" t="n">
        <v>2023</v>
      </c>
      <c r="H144" s="14" t="inlineStr">
        <is>
          <t>2.5 S Select Sport Utility 4D</t>
        </is>
      </c>
      <c r="I144" s="30" t="n">
        <v>30668</v>
      </c>
      <c r="J144" s="22" t="n">
        <v>25990</v>
      </c>
      <c r="K144" s="14" t="n"/>
      <c r="L144" s="14" t="inlineStr">
        <is>
          <t>Akron</t>
        </is>
      </c>
      <c r="M144" s="14" t="inlineStr">
        <is>
          <t>NY</t>
        </is>
      </c>
      <c r="N144" s="14" t="inlineStr">
        <is>
          <t>JM3KFBBM1P0278538</t>
        </is>
      </c>
      <c r="O144" s="14" t="n"/>
      <c r="P144" s="22" t="n"/>
      <c r="Q144" s="22" t="n"/>
      <c r="R144" s="30" t="n"/>
      <c r="S144" s="14" t="n"/>
      <c r="T144" s="14" t="n"/>
      <c r="U144" s="14" t="n"/>
      <c r="V144" s="30" t="n"/>
      <c r="W144" s="30" t="n"/>
      <c r="X144" s="14" t="n"/>
      <c r="Y144" s="14" t="inlineStr"/>
      <c r="Z144" s="38" t="inlineStr">
        <is>
          <t>open</t>
        </is>
      </c>
    </row>
    <row r="145">
      <c r="B145" s="31" t="b">
        <v>0</v>
      </c>
      <c r="C145" s="31" t="inlineStr">
        <is>
          <t>unwanted trim</t>
        </is>
      </c>
      <c r="D145" s="21" t="n"/>
      <c r="E145" s="14" t="inlineStr">
        <is>
          <t>Carvana</t>
        </is>
      </c>
      <c r="F145" s="14" t="inlineStr"/>
      <c r="G145" s="28" t="n">
        <v>2023</v>
      </c>
      <c r="H145" s="14" t="inlineStr">
        <is>
          <t>2.5 S Carbon Edition Sport Utility 4D</t>
        </is>
      </c>
      <c r="I145" s="30" t="n">
        <v>45536</v>
      </c>
      <c r="J145" s="22" t="n">
        <v>26590</v>
      </c>
      <c r="K145" s="14" t="n"/>
      <c r="L145" s="14" t="inlineStr">
        <is>
          <t>Trenton</t>
        </is>
      </c>
      <c r="M145" s="14" t="inlineStr">
        <is>
          <t>OH</t>
        </is>
      </c>
      <c r="N145" s="14" t="inlineStr">
        <is>
          <t>JM3KFBCM2P0101401</t>
        </is>
      </c>
      <c r="O145" s="14" t="n"/>
      <c r="P145" s="22" t="n"/>
      <c r="Q145" s="22" t="n"/>
      <c r="R145" s="30" t="n"/>
      <c r="S145" s="14" t="n"/>
      <c r="T145" s="14" t="n"/>
      <c r="U145" s="14" t="n"/>
      <c r="V145" s="30" t="n"/>
      <c r="W145" s="30" t="n"/>
      <c r="X145" s="14" t="n"/>
      <c r="Y145" s="14" t="inlineStr"/>
      <c r="Z145" s="38" t="inlineStr">
        <is>
          <t>open</t>
        </is>
      </c>
    </row>
    <row r="146">
      <c r="B146" s="31" t="b">
        <v>0</v>
      </c>
      <c r="C146" s="31" t="inlineStr">
        <is>
          <t>unwanted trim</t>
        </is>
      </c>
      <c r="D146" s="21" t="n"/>
      <c r="E146" s="14" t="inlineStr">
        <is>
          <t>Carvana</t>
        </is>
      </c>
      <c r="F146" s="14" t="inlineStr"/>
      <c r="G146" s="28" t="n">
        <v>2023</v>
      </c>
      <c r="H146" s="14" t="inlineStr">
        <is>
          <t>2.5 S Select Sport Utility 4D</t>
        </is>
      </c>
      <c r="I146" s="30" t="n">
        <v>10926</v>
      </c>
      <c r="J146" s="22" t="n">
        <v>26990</v>
      </c>
      <c r="K146" s="14" t="n"/>
      <c r="L146" s="14" t="inlineStr">
        <is>
          <t>Haines City</t>
        </is>
      </c>
      <c r="M146" s="14" t="inlineStr">
        <is>
          <t>FL</t>
        </is>
      </c>
      <c r="N146" s="14" t="inlineStr">
        <is>
          <t>JM3KFBBM6P0273237</t>
        </is>
      </c>
      <c r="O146" s="14" t="n"/>
      <c r="P146" s="22" t="n"/>
      <c r="Q146" s="22" t="n"/>
      <c r="R146" s="30" t="n"/>
      <c r="S146" s="14" t="n"/>
      <c r="T146" s="14" t="n"/>
      <c r="U146" s="14" t="n"/>
      <c r="V146" s="30" t="n"/>
      <c r="W146" s="30" t="n"/>
      <c r="X146" s="14" t="n"/>
      <c r="Y146" s="14" t="inlineStr"/>
      <c r="Z146" s="38" t="inlineStr">
        <is>
          <t>open</t>
        </is>
      </c>
    </row>
    <row r="147">
      <c r="B147" s="31" t="b">
        <v>0</v>
      </c>
      <c r="C147" s="31" t="inlineStr">
        <is>
          <t>unwanted trim</t>
        </is>
      </c>
      <c r="D147" s="21" t="n"/>
      <c r="E147" s="14" t="inlineStr">
        <is>
          <t>Carvana</t>
        </is>
      </c>
      <c r="F147" s="14" t="inlineStr"/>
      <c r="G147" s="28" t="n">
        <v>2022</v>
      </c>
      <c r="H147" s="14" t="inlineStr">
        <is>
          <t>2.5 S Premium Sport Utility 4D</t>
        </is>
      </c>
      <c r="I147" s="30" t="n">
        <v>14742</v>
      </c>
      <c r="J147" s="22" t="n">
        <v>28590</v>
      </c>
      <c r="K147" s="14" t="n"/>
      <c r="L147" s="14" t="inlineStr">
        <is>
          <t>Tolleson</t>
        </is>
      </c>
      <c r="M147" s="14" t="inlineStr">
        <is>
          <t>AZ</t>
        </is>
      </c>
      <c r="N147" s="14" t="inlineStr">
        <is>
          <t>JM3KFBDM7N0647218</t>
        </is>
      </c>
      <c r="O147" s="14" t="n"/>
      <c r="P147" s="22" t="n"/>
      <c r="Q147" s="22" t="n"/>
      <c r="R147" s="30" t="n"/>
      <c r="S147" s="14" t="n"/>
      <c r="T147" s="14" t="n"/>
      <c r="U147" s="14" t="n"/>
      <c r="V147" s="30" t="n"/>
      <c r="W147" s="30" t="n"/>
      <c r="X147" s="14" t="n"/>
      <c r="Y147" s="14" t="inlineStr"/>
      <c r="Z147" s="38" t="inlineStr">
        <is>
          <t>open</t>
        </is>
      </c>
    </row>
    <row r="148">
      <c r="B148" s="31" t="b">
        <v>0</v>
      </c>
      <c r="C148" s="31" t="inlineStr">
        <is>
          <t>unwanted trim</t>
        </is>
      </c>
      <c r="D148" s="21" t="n"/>
      <c r="E148" s="14" t="inlineStr">
        <is>
          <t>Carvana</t>
        </is>
      </c>
      <c r="F148" s="14" t="inlineStr"/>
      <c r="G148" s="28" t="n">
        <v>2021</v>
      </c>
      <c r="H148" s="14" t="inlineStr">
        <is>
          <t>Touring Sport Utility 4D</t>
        </is>
      </c>
      <c r="I148" s="30" t="n">
        <v>49693</v>
      </c>
      <c r="J148" s="22" t="n">
        <v>23990</v>
      </c>
      <c r="K148" s="14" t="n"/>
      <c r="L148" s="14" t="inlineStr">
        <is>
          <t>Akron</t>
        </is>
      </c>
      <c r="M148" s="14" t="inlineStr">
        <is>
          <t>NY</t>
        </is>
      </c>
      <c r="N148" s="14" t="inlineStr">
        <is>
          <t>JM3KFBCM5M1393261</t>
        </is>
      </c>
      <c r="O148" s="14" t="n"/>
      <c r="P148" s="22" t="n"/>
      <c r="Q148" s="22" t="n"/>
      <c r="R148" s="30" t="n"/>
      <c r="S148" s="14" t="n"/>
      <c r="T148" s="14" t="n"/>
      <c r="U148" s="14" t="n"/>
      <c r="V148" s="30" t="n"/>
      <c r="W148" s="30" t="n"/>
      <c r="X148" s="14" t="n"/>
      <c r="Y148" s="14" t="inlineStr"/>
      <c r="Z148" s="38" t="inlineStr">
        <is>
          <t>open</t>
        </is>
      </c>
    </row>
    <row r="149">
      <c r="B149" s="31" t="b">
        <v>0</v>
      </c>
      <c r="C149" s="31" t="inlineStr">
        <is>
          <t>unwanted trim</t>
        </is>
      </c>
      <c r="D149" s="21" t="n"/>
      <c r="E149" s="14" t="inlineStr">
        <is>
          <t>Carvana</t>
        </is>
      </c>
      <c r="F149" s="14" t="inlineStr"/>
      <c r="G149" s="28" t="n">
        <v>2023</v>
      </c>
      <c r="H149" s="14" t="inlineStr">
        <is>
          <t>2.5 S Preferred Sport Utility 4D</t>
        </is>
      </c>
      <c r="I149" s="30" t="n">
        <v>40791</v>
      </c>
      <c r="J149" s="22" t="n">
        <v>24590</v>
      </c>
      <c r="K149" s="14" t="n"/>
      <c r="L149" s="14" t="inlineStr">
        <is>
          <t>University Park</t>
        </is>
      </c>
      <c r="M149" s="14" t="inlineStr">
        <is>
          <t>IL</t>
        </is>
      </c>
      <c r="N149" s="14" t="inlineStr">
        <is>
          <t>JM3KFBCM0P0278853</t>
        </is>
      </c>
      <c r="O149" s="14" t="n"/>
      <c r="P149" s="22" t="n"/>
      <c r="Q149" s="22" t="n"/>
      <c r="R149" s="30" t="n"/>
      <c r="S149" s="14" t="n"/>
      <c r="T149" s="14" t="n"/>
      <c r="U149" s="14" t="n"/>
      <c r="V149" s="30" t="n"/>
      <c r="W149" s="30" t="n"/>
      <c r="X149" s="14" t="n"/>
      <c r="Y149" s="14" t="inlineStr"/>
      <c r="Z149" s="38" t="inlineStr">
        <is>
          <t>open</t>
        </is>
      </c>
    </row>
    <row r="150">
      <c r="B150" s="31" t="b">
        <v>0</v>
      </c>
      <c r="C150" s="31" t="inlineStr">
        <is>
          <t>unwanted trim</t>
        </is>
      </c>
      <c r="D150" s="21" t="n"/>
      <c r="E150" s="14" t="inlineStr">
        <is>
          <t>CarMax</t>
        </is>
      </c>
      <c r="F150" s="14" t="inlineStr"/>
      <c r="G150" s="28" t="n">
        <v>2021</v>
      </c>
      <c r="H150" s="14" t="inlineStr">
        <is>
          <t>Sport</t>
        </is>
      </c>
      <c r="I150" s="30" t="n">
        <v>34878</v>
      </c>
      <c r="J150" s="22" t="n">
        <v>22998</v>
      </c>
      <c r="K150" s="14" t="inlineStr">
        <is>
          <t>CarMax Hillside (Eisenhower Expy)</t>
        </is>
      </c>
      <c r="L150" s="14" t="inlineStr">
        <is>
          <t>Hillside</t>
        </is>
      </c>
      <c r="M150" s="14" t="inlineStr">
        <is>
          <t>IL</t>
        </is>
      </c>
      <c r="N150" s="14" t="inlineStr">
        <is>
          <t>JM3KFABM4M0327074</t>
        </is>
      </c>
      <c r="O150" s="14" t="n"/>
      <c r="P150" s="22" t="n"/>
      <c r="Q150" s="22" t="n"/>
      <c r="R150" s="30" t="n"/>
      <c r="S150" s="14" t="n"/>
      <c r="T150" s="14" t="n"/>
      <c r="U150" s="14" t="n"/>
      <c r="V150" s="30" t="n"/>
      <c r="W150" s="30" t="n"/>
      <c r="X150" s="14" t="n"/>
      <c r="Y150" s="14" t="inlineStr">
        <is>
          <t>xfer $1699</t>
        </is>
      </c>
      <c r="Z150" s="38" t="inlineStr">
        <is>
          <t>open</t>
        </is>
      </c>
    </row>
    <row r="151">
      <c r="B151" s="31" t="b">
        <v>0</v>
      </c>
      <c r="C151" s="31" t="inlineStr">
        <is>
          <t>unwanted trim</t>
        </is>
      </c>
      <c r="D151" s="21" t="n"/>
      <c r="E151" s="14" t="inlineStr">
        <is>
          <t>CarMax</t>
        </is>
      </c>
      <c r="F151" s="14" t="inlineStr"/>
      <c r="G151" s="28" t="n">
        <v>2021</v>
      </c>
      <c r="H151" s="14" t="inlineStr">
        <is>
          <t>Sport</t>
        </is>
      </c>
      <c r="I151" s="30" t="n">
        <v>21172</v>
      </c>
      <c r="J151" s="22" t="n">
        <v>23998</v>
      </c>
      <c r="K151" s="14" t="inlineStr">
        <is>
          <t>CarMax Gainesville</t>
        </is>
      </c>
      <c r="L151" s="14" t="inlineStr">
        <is>
          <t>Gainesville</t>
        </is>
      </c>
      <c r="M151" s="14" t="inlineStr">
        <is>
          <t>GA</t>
        </is>
      </c>
      <c r="N151" s="14" t="inlineStr">
        <is>
          <t>JM3KFABM9M0310304</t>
        </is>
      </c>
      <c r="O151" s="14" t="n"/>
      <c r="P151" s="22" t="n"/>
      <c r="Q151" s="22" t="n"/>
      <c r="R151" s="30" t="n"/>
      <c r="S151" s="14" t="n"/>
      <c r="T151" s="14" t="n"/>
      <c r="U151" s="14" t="n"/>
      <c r="V151" s="30" t="n"/>
      <c r="W151" s="30" t="n"/>
      <c r="X151" s="14" t="n"/>
      <c r="Y151" s="14" t="inlineStr">
        <is>
          <t>xfer $1999</t>
        </is>
      </c>
      <c r="Z151" s="38" t="inlineStr">
        <is>
          <t>open</t>
        </is>
      </c>
    </row>
    <row r="152">
      <c r="B152" s="31" t="b">
        <v>0</v>
      </c>
      <c r="C152" s="31" t="inlineStr">
        <is>
          <t>unwanted trim</t>
        </is>
      </c>
      <c r="D152" s="21" t="n"/>
      <c r="E152" s="14" t="inlineStr">
        <is>
          <t>CarMax</t>
        </is>
      </c>
      <c r="F152" s="14" t="inlineStr"/>
      <c r="G152" s="28" t="n">
        <v>2021</v>
      </c>
      <c r="H152" s="14" t="inlineStr">
        <is>
          <t>Sport</t>
        </is>
      </c>
      <c r="I152" s="30" t="n">
        <v>30188</v>
      </c>
      <c r="J152" s="22" t="n">
        <v>23998</v>
      </c>
      <c r="K152" s="14" t="inlineStr">
        <is>
          <t>CarMax Columbia</t>
        </is>
      </c>
      <c r="L152" s="14" t="inlineStr">
        <is>
          <t>Columbia</t>
        </is>
      </c>
      <c r="M152" s="14" t="inlineStr">
        <is>
          <t>SC</t>
        </is>
      </c>
      <c r="N152" s="14" t="inlineStr">
        <is>
          <t>JM3KFABM4M0415414</t>
        </is>
      </c>
      <c r="O152" s="14" t="n"/>
      <c r="P152" s="22" t="n"/>
      <c r="Q152" s="22" t="n"/>
      <c r="R152" s="30" t="n"/>
      <c r="S152" s="14" t="n"/>
      <c r="T152" s="14" t="n"/>
      <c r="U152" s="14" t="n"/>
      <c r="V152" s="30" t="n"/>
      <c r="W152" s="30" t="n"/>
      <c r="X152" s="14" t="n"/>
      <c r="Y152" s="14" t="inlineStr">
        <is>
          <t>xfer $1999</t>
        </is>
      </c>
      <c r="Z152" s="38" t="inlineStr">
        <is>
          <t>open</t>
        </is>
      </c>
    </row>
    <row r="153">
      <c r="B153" s="31" t="b">
        <v>0</v>
      </c>
      <c r="C153" s="31" t="inlineStr">
        <is>
          <t>unwanted trim</t>
        </is>
      </c>
      <c r="D153" s="21" t="n"/>
      <c r="E153" s="14" t="inlineStr">
        <is>
          <t>CarMax</t>
        </is>
      </c>
      <c r="F153" s="14" t="inlineStr"/>
      <c r="G153" s="28" t="n">
        <v>2021</v>
      </c>
      <c r="H153" s="14" t="inlineStr">
        <is>
          <t>Sport</t>
        </is>
      </c>
      <c r="I153" s="30" t="n">
        <v>19665</v>
      </c>
      <c r="J153" s="22" t="n">
        <v>23998</v>
      </c>
      <c r="K153" s="14" t="inlineStr">
        <is>
          <t>CarMax Ft. Lauderdale</t>
        </is>
      </c>
      <c r="L153" s="14" t="inlineStr">
        <is>
          <t>Davie</t>
        </is>
      </c>
      <c r="M153" s="14" t="inlineStr">
        <is>
          <t>FL</t>
        </is>
      </c>
      <c r="N153" s="14" t="inlineStr">
        <is>
          <t>JM3KFABM3M1362229</t>
        </is>
      </c>
      <c r="O153" s="14" t="n"/>
      <c r="P153" s="22" t="n"/>
      <c r="Q153" s="22" t="n"/>
      <c r="R153" s="30" t="n"/>
      <c r="S153" s="14" t="n"/>
      <c r="T153" s="14" t="n"/>
      <c r="U153" s="14" t="n"/>
      <c r="V153" s="30" t="n"/>
      <c r="W153" s="30" t="n"/>
      <c r="X153" s="14" t="n"/>
      <c r="Y153" s="14" t="inlineStr">
        <is>
          <t>xfer $1999</t>
        </is>
      </c>
      <c r="Z153" s="38" t="inlineStr">
        <is>
          <t>open</t>
        </is>
      </c>
    </row>
    <row r="154">
      <c r="B154" s="31" t="b">
        <v>0</v>
      </c>
      <c r="C154" s="31" t="inlineStr">
        <is>
          <t>unwanted trim</t>
        </is>
      </c>
      <c r="D154" s="21" t="n"/>
      <c r="E154" s="14" t="inlineStr">
        <is>
          <t>CarMax</t>
        </is>
      </c>
      <c r="F154" s="14" t="inlineStr"/>
      <c r="G154" s="28" t="n">
        <v>2023</v>
      </c>
      <c r="H154" s="14" t="inlineStr">
        <is>
          <t>2.5 S</t>
        </is>
      </c>
      <c r="I154" s="30" t="n">
        <v>20862</v>
      </c>
      <c r="J154" s="22" t="n">
        <v>24998</v>
      </c>
      <c r="K154" s="14" t="inlineStr">
        <is>
          <t>CarMax Fremont</t>
        </is>
      </c>
      <c r="L154" s="14" t="inlineStr">
        <is>
          <t>Fremont</t>
        </is>
      </c>
      <c r="M154" s="14" t="inlineStr">
        <is>
          <t>CA</t>
        </is>
      </c>
      <c r="N154" s="14" t="inlineStr">
        <is>
          <t>JM3KFBBM5P0256364</t>
        </is>
      </c>
      <c r="O154" s="14" t="n"/>
      <c r="P154" s="22" t="n"/>
      <c r="Q154" s="22" t="n"/>
      <c r="R154" s="30" t="n"/>
      <c r="S154" s="14" t="n"/>
      <c r="T154" s="14" t="n"/>
      <c r="U154" s="14" t="n"/>
      <c r="V154" s="30" t="n"/>
      <c r="W154" s="30" t="n"/>
      <c r="X154" s="14" t="n"/>
      <c r="Y154" s="14" t="inlineStr">
        <is>
          <t>xfer $449</t>
        </is>
      </c>
      <c r="Z154" s="38" t="inlineStr">
        <is>
          <t>open</t>
        </is>
      </c>
    </row>
    <row r="155">
      <c r="B155" s="31" t="b">
        <v>0</v>
      </c>
      <c r="C155" s="31" t="inlineStr">
        <is>
          <t>unwanted trim</t>
        </is>
      </c>
      <c r="D155" s="21" t="n"/>
      <c r="E155" s="14" t="inlineStr">
        <is>
          <t>CarMax</t>
        </is>
      </c>
      <c r="F155" s="14" t="inlineStr"/>
      <c r="G155" s="28" t="n">
        <v>2022</v>
      </c>
      <c r="H155" s="14" t="inlineStr">
        <is>
          <t>2.5 S Select Package</t>
        </is>
      </c>
      <c r="I155" s="30" t="n">
        <v>36195</v>
      </c>
      <c r="J155" s="22" t="n">
        <v>24998</v>
      </c>
      <c r="K155" s="14" t="inlineStr">
        <is>
          <t>CarMax Potomac Mills</t>
        </is>
      </c>
      <c r="L155" s="14" t="inlineStr">
        <is>
          <t>Woodbridge</t>
        </is>
      </c>
      <c r="M155" s="14" t="inlineStr">
        <is>
          <t>VA</t>
        </is>
      </c>
      <c r="N155" s="14" t="inlineStr">
        <is>
          <t>JM3KFBBM0N0562367</t>
        </is>
      </c>
      <c r="O155" s="14" t="n"/>
      <c r="P155" s="22" t="n"/>
      <c r="Q155" s="22" t="n"/>
      <c r="R155" s="30" t="n"/>
      <c r="S155" s="14" t="n"/>
      <c r="T155" s="14" t="n"/>
      <c r="U155" s="14" t="n"/>
      <c r="V155" s="30" t="n"/>
      <c r="W155" s="30" t="n"/>
      <c r="X155" s="14" t="n"/>
      <c r="Y155" s="14" t="inlineStr">
        <is>
          <t>xfer $1999</t>
        </is>
      </c>
      <c r="Z155" s="38" t="inlineStr">
        <is>
          <t>open</t>
        </is>
      </c>
    </row>
    <row r="156">
      <c r="B156" s="31" t="b">
        <v>0</v>
      </c>
      <c r="C156" s="31" t="inlineStr">
        <is>
          <t>unwanted trim</t>
        </is>
      </c>
      <c r="D156" s="21" t="n"/>
      <c r="E156" s="14" t="inlineStr">
        <is>
          <t>CarMax</t>
        </is>
      </c>
      <c r="F156" s="14" t="inlineStr"/>
      <c r="G156" s="28" t="n">
        <v>2023</v>
      </c>
      <c r="H156" s="14" t="inlineStr">
        <is>
          <t>2.5 S Select Package</t>
        </is>
      </c>
      <c r="I156" s="30" t="n">
        <v>48494</v>
      </c>
      <c r="J156" s="22" t="n">
        <v>24998</v>
      </c>
      <c r="K156" s="14" t="inlineStr">
        <is>
          <t>CarMax Salisbury</t>
        </is>
      </c>
      <c r="L156" s="14" t="inlineStr">
        <is>
          <t>Salisbury</t>
        </is>
      </c>
      <c r="M156" s="14" t="inlineStr">
        <is>
          <t>MD</t>
        </is>
      </c>
      <c r="N156" s="14" t="inlineStr">
        <is>
          <t>JM3KFBBM0P0234210</t>
        </is>
      </c>
      <c r="O156" s="14" t="n"/>
      <c r="P156" s="22" t="n"/>
      <c r="Q156" s="22" t="n"/>
      <c r="R156" s="30" t="n"/>
      <c r="S156" s="14" t="n"/>
      <c r="T156" s="14" t="n"/>
      <c r="U156" s="14" t="n"/>
      <c r="V156" s="30" t="n"/>
      <c r="W156" s="30" t="n"/>
      <c r="X156" s="14" t="n"/>
      <c r="Y156" s="14" t="inlineStr">
        <is>
          <t>xfer $1999</t>
        </is>
      </c>
      <c r="Z156" s="38" t="inlineStr">
        <is>
          <t>open</t>
        </is>
      </c>
    </row>
    <row r="157">
      <c r="B157" s="31" t="b">
        <v>0</v>
      </c>
      <c r="C157" s="31" t="inlineStr">
        <is>
          <t>unwanted trim</t>
        </is>
      </c>
      <c r="D157" s="21" t="n"/>
      <c r="E157" s="14" t="inlineStr">
        <is>
          <t>CarMax</t>
        </is>
      </c>
      <c r="F157" s="14" t="inlineStr"/>
      <c r="G157" s="28" t="n">
        <v>2023</v>
      </c>
      <c r="H157" s="14" t="inlineStr">
        <is>
          <t>2.5 S Select Package</t>
        </is>
      </c>
      <c r="I157" s="30" t="n">
        <v>26559</v>
      </c>
      <c r="J157" s="22" t="n">
        <v>25998</v>
      </c>
      <c r="K157" s="14" t="inlineStr">
        <is>
          <t>CarMax San Gabriel Valley/Duarte</t>
        </is>
      </c>
      <c r="L157" s="14" t="inlineStr">
        <is>
          <t>Duarte</t>
        </is>
      </c>
      <c r="M157" s="14" t="inlineStr">
        <is>
          <t>CA</t>
        </is>
      </c>
      <c r="N157" s="14" t="inlineStr">
        <is>
          <t>JM3KFBBM6P0222952</t>
        </is>
      </c>
      <c r="O157" s="14" t="n"/>
      <c r="P157" s="22" t="n"/>
      <c r="Q157" s="22" t="n"/>
      <c r="R157" s="30" t="n"/>
      <c r="S157" s="14" t="n"/>
      <c r="T157" s="14" t="n"/>
      <c r="U157" s="14" t="n"/>
      <c r="V157" s="30" t="n"/>
      <c r="W157" s="30" t="n"/>
      <c r="X157" s="14" t="n"/>
      <c r="Y157" s="14" t="inlineStr">
        <is>
          <t>xfer $699</t>
        </is>
      </c>
      <c r="Z157" s="38" t="inlineStr">
        <is>
          <t>open</t>
        </is>
      </c>
    </row>
    <row r="158">
      <c r="B158" s="31" t="b">
        <v>0</v>
      </c>
      <c r="C158" s="31" t="inlineStr">
        <is>
          <t>unwanted trim</t>
        </is>
      </c>
      <c r="D158" s="21" t="n"/>
      <c r="E158" s="14" t="inlineStr">
        <is>
          <t>CarMax</t>
        </is>
      </c>
      <c r="F158" s="14" t="inlineStr"/>
      <c r="G158" s="28" t="n">
        <v>2023</v>
      </c>
      <c r="H158" s="14" t="inlineStr">
        <is>
          <t>2.5 S</t>
        </is>
      </c>
      <c r="I158" s="30" t="n">
        <v>12306</v>
      </c>
      <c r="J158" s="22" t="n">
        <v>25998</v>
      </c>
      <c r="K158" s="14" t="inlineStr">
        <is>
          <t>CarMax Town Center</t>
        </is>
      </c>
      <c r="L158" s="14" t="inlineStr">
        <is>
          <t>Kennesaw</t>
        </is>
      </c>
      <c r="M158" s="14" t="inlineStr">
        <is>
          <t>GA</t>
        </is>
      </c>
      <c r="N158" s="14" t="inlineStr">
        <is>
          <t>JM3KFBAM2P0252080</t>
        </is>
      </c>
      <c r="O158" s="14" t="n"/>
      <c r="P158" s="22" t="n"/>
      <c r="Q158" s="22" t="n"/>
      <c r="R158" s="30" t="n"/>
      <c r="S158" s="14" t="n"/>
      <c r="T158" s="14" t="n"/>
      <c r="U158" s="14" t="n"/>
      <c r="V158" s="30" t="n"/>
      <c r="W158" s="30" t="n"/>
      <c r="X158" s="14" t="n"/>
      <c r="Y158" s="14" t="inlineStr">
        <is>
          <t>xfer $1999</t>
        </is>
      </c>
      <c r="Z158" s="38" t="inlineStr">
        <is>
          <t>open</t>
        </is>
      </c>
    </row>
    <row r="159">
      <c r="B159" s="31" t="b">
        <v>0</v>
      </c>
      <c r="C159" s="31" t="inlineStr">
        <is>
          <t>unwanted trim</t>
        </is>
      </c>
      <c r="D159" s="21" t="n"/>
      <c r="E159" s="14" t="inlineStr">
        <is>
          <t>CarMax</t>
        </is>
      </c>
      <c r="F159" s="14" t="inlineStr"/>
      <c r="G159" s="28" t="n">
        <v>2023</v>
      </c>
      <c r="H159" s="14" t="inlineStr">
        <is>
          <t>2.5 S Select Package</t>
        </is>
      </c>
      <c r="I159" s="30" t="n">
        <v>19561</v>
      </c>
      <c r="J159" s="22" t="n">
        <v>25998</v>
      </c>
      <c r="K159" s="14" t="inlineStr">
        <is>
          <t>CarMax Roswell</t>
        </is>
      </c>
      <c r="L159" s="14" t="inlineStr">
        <is>
          <t>Roswell</t>
        </is>
      </c>
      <c r="M159" s="14" t="inlineStr">
        <is>
          <t>GA</t>
        </is>
      </c>
      <c r="N159" s="14" t="inlineStr">
        <is>
          <t>JM3KFBBM7P0186933</t>
        </is>
      </c>
      <c r="O159" s="14" t="n"/>
      <c r="P159" s="22" t="n"/>
      <c r="Q159" s="22" t="n"/>
      <c r="R159" s="30" t="n"/>
      <c r="S159" s="14" t="n"/>
      <c r="T159" s="14" t="n"/>
      <c r="U159" s="14" t="n"/>
      <c r="V159" s="30" t="n"/>
      <c r="W159" s="30" t="n"/>
      <c r="X159" s="14" t="n"/>
      <c r="Y159" s="14" t="inlineStr">
        <is>
          <t>xfer $1999</t>
        </is>
      </c>
      <c r="Z159" s="38" t="inlineStr">
        <is>
          <t>open</t>
        </is>
      </c>
    </row>
    <row r="160">
      <c r="B160" s="31" t="b">
        <v>0</v>
      </c>
      <c r="C160" s="31" t="inlineStr">
        <is>
          <t>unwanted trim</t>
        </is>
      </c>
      <c r="D160" s="21" t="n"/>
      <c r="E160" s="14" t="inlineStr">
        <is>
          <t>CarMax</t>
        </is>
      </c>
      <c r="F160" s="14" t="inlineStr"/>
      <c r="G160" s="28" t="n">
        <v>2023</v>
      </c>
      <c r="H160" s="14" t="inlineStr">
        <is>
          <t>2.5 S Select Package</t>
        </is>
      </c>
      <c r="I160" s="30" t="n">
        <v>16237</v>
      </c>
      <c r="J160" s="22" t="n">
        <v>25998</v>
      </c>
      <c r="K160" s="14" t="inlineStr">
        <is>
          <t>CarMax Gainesville</t>
        </is>
      </c>
      <c r="L160" s="14" t="inlineStr">
        <is>
          <t>Gainesville</t>
        </is>
      </c>
      <c r="M160" s="14" t="inlineStr">
        <is>
          <t>GA</t>
        </is>
      </c>
      <c r="N160" s="14" t="inlineStr">
        <is>
          <t>JM3KFBBM2P0240963</t>
        </is>
      </c>
      <c r="O160" s="14" t="n"/>
      <c r="P160" s="22" t="n"/>
      <c r="Q160" s="22" t="n"/>
      <c r="R160" s="30" t="n"/>
      <c r="S160" s="14" t="n"/>
      <c r="T160" s="14" t="n"/>
      <c r="U160" s="14" t="n"/>
      <c r="V160" s="30" t="n"/>
      <c r="W160" s="30" t="n"/>
      <c r="X160" s="14" t="n"/>
      <c r="Y160" s="14" t="inlineStr">
        <is>
          <t>xfer $1999</t>
        </is>
      </c>
      <c r="Z160" s="38" t="inlineStr">
        <is>
          <t>open</t>
        </is>
      </c>
    </row>
    <row r="161">
      <c r="B161" s="31" t="b">
        <v>0</v>
      </c>
      <c r="C161" s="31" t="inlineStr">
        <is>
          <t>unwanted trim</t>
        </is>
      </c>
      <c r="D161" s="21" t="n"/>
      <c r="E161" s="14" t="inlineStr">
        <is>
          <t>CarMax</t>
        </is>
      </c>
      <c r="F161" s="14" t="inlineStr"/>
      <c r="G161" s="28" t="n">
        <v>2023</v>
      </c>
      <c r="H161" s="14" t="inlineStr">
        <is>
          <t>2.5 S Select Package</t>
        </is>
      </c>
      <c r="I161" s="30" t="n">
        <v>25057</v>
      </c>
      <c r="J161" s="22" t="n">
        <v>25998</v>
      </c>
      <c r="K161" s="14" t="inlineStr">
        <is>
          <t>CarMax White Marsh</t>
        </is>
      </c>
      <c r="L161" s="14" t="inlineStr">
        <is>
          <t>White Marsh</t>
        </is>
      </c>
      <c r="M161" s="14" t="inlineStr">
        <is>
          <t>MD</t>
        </is>
      </c>
      <c r="N161" s="14" t="inlineStr">
        <is>
          <t>JM3KFBBM1P0276272</t>
        </is>
      </c>
      <c r="O161" s="14" t="n"/>
      <c r="P161" s="22" t="n"/>
      <c r="Q161" s="22" t="n"/>
      <c r="R161" s="30" t="n"/>
      <c r="S161" s="14" t="n"/>
      <c r="T161" s="14" t="n"/>
      <c r="U161" s="14" t="n"/>
      <c r="V161" s="30" t="n"/>
      <c r="W161" s="30" t="n"/>
      <c r="X161" s="14" t="n"/>
      <c r="Y161" s="14" t="inlineStr">
        <is>
          <t>xfer $1999</t>
        </is>
      </c>
      <c r="Z161" s="38" t="inlineStr">
        <is>
          <t>open</t>
        </is>
      </c>
    </row>
    <row r="162">
      <c r="B162" s="31" t="b">
        <v>0</v>
      </c>
      <c r="C162" s="31" t="inlineStr">
        <is>
          <t>unwanted trim</t>
        </is>
      </c>
      <c r="D162" s="21" t="n"/>
      <c r="E162" s="14" t="inlineStr">
        <is>
          <t>CarMax</t>
        </is>
      </c>
      <c r="F162" s="14" t="inlineStr"/>
      <c r="G162" s="28" t="n">
        <v>2023</v>
      </c>
      <c r="H162" s="14" t="inlineStr">
        <is>
          <t>2.5 S Select Package</t>
        </is>
      </c>
      <c r="I162" s="30" t="n">
        <v>26523</v>
      </c>
      <c r="J162" s="22" t="n">
        <v>25998</v>
      </c>
      <c r="K162" s="14" t="inlineStr">
        <is>
          <t>CarMax Newport News</t>
        </is>
      </c>
      <c r="L162" s="14" t="inlineStr">
        <is>
          <t>Newport News</t>
        </is>
      </c>
      <c r="M162" s="14" t="inlineStr">
        <is>
          <t>VA</t>
        </is>
      </c>
      <c r="N162" s="14" t="inlineStr">
        <is>
          <t>JM3KFBBM1P0244129</t>
        </is>
      </c>
      <c r="O162" s="14" t="n"/>
      <c r="P162" s="22" t="n"/>
      <c r="Q162" s="22" t="n"/>
      <c r="R162" s="30" t="n"/>
      <c r="S162" s="14" t="n"/>
      <c r="T162" s="14" t="n"/>
      <c r="U162" s="14" t="n"/>
      <c r="V162" s="30" t="n"/>
      <c r="W162" s="30" t="n"/>
      <c r="X162" s="14" t="n"/>
      <c r="Y162" s="14" t="inlineStr">
        <is>
          <t>xfer $1999</t>
        </is>
      </c>
      <c r="Z162" s="38" t="inlineStr">
        <is>
          <t>open</t>
        </is>
      </c>
    </row>
    <row r="163">
      <c r="B163" s="31" t="b">
        <v>0</v>
      </c>
      <c r="C163" s="31" t="inlineStr">
        <is>
          <t>unwanted trim</t>
        </is>
      </c>
      <c r="D163" s="21" t="n"/>
      <c r="E163" s="14" t="inlineStr">
        <is>
          <t>CarMax</t>
        </is>
      </c>
      <c r="F163" s="14" t="inlineStr"/>
      <c r="G163" s="28" t="n">
        <v>2023</v>
      </c>
      <c r="H163" s="14" t="inlineStr">
        <is>
          <t>2.5 S</t>
        </is>
      </c>
      <c r="I163" s="30" t="n">
        <v>26492</v>
      </c>
      <c r="J163" s="22" t="n">
        <v>26998</v>
      </c>
      <c r="K163" s="14" t="inlineStr">
        <is>
          <t>CarMax Dulles</t>
        </is>
      </c>
      <c r="L163" s="14" t="inlineStr">
        <is>
          <t>Sterling</t>
        </is>
      </c>
      <c r="M163" s="14" t="inlineStr">
        <is>
          <t>VA</t>
        </is>
      </c>
      <c r="N163" s="14" t="inlineStr">
        <is>
          <t>JM3KFBBM1P0225290</t>
        </is>
      </c>
      <c r="O163" s="14" t="n"/>
      <c r="P163" s="22" t="n"/>
      <c r="Q163" s="22" t="n"/>
      <c r="R163" s="30" t="n"/>
      <c r="S163" s="14" t="n"/>
      <c r="T163" s="14" t="n"/>
      <c r="U163" s="14" t="n"/>
      <c r="V163" s="30" t="n"/>
      <c r="W163" s="30" t="n"/>
      <c r="X163" s="14" t="n"/>
      <c r="Y163" s="14" t="inlineStr">
        <is>
          <t>xfer $1999</t>
        </is>
      </c>
      <c r="Z163" s="38" t="inlineStr">
        <is>
          <t>open</t>
        </is>
      </c>
    </row>
    <row r="164">
      <c r="B164" s="31" t="b">
        <v>0</v>
      </c>
      <c r="C164" s="31" t="inlineStr">
        <is>
          <t>unwanted trim</t>
        </is>
      </c>
      <c r="D164" s="21" t="n"/>
      <c r="E164" s="14" t="inlineStr">
        <is>
          <t>CarMax</t>
        </is>
      </c>
      <c r="F164" s="14" t="inlineStr"/>
      <c r="G164" s="28" t="n">
        <v>2023</v>
      </c>
      <c r="H164" s="14" t="inlineStr">
        <is>
          <t>2.5 S</t>
        </is>
      </c>
      <c r="I164" s="30" t="n">
        <v>16160</v>
      </c>
      <c r="J164" s="22" t="n">
        <v>26998</v>
      </c>
      <c r="K164" s="14" t="inlineStr">
        <is>
          <t>CarMax Dulles</t>
        </is>
      </c>
      <c r="L164" s="14" t="inlineStr">
        <is>
          <t>Sterling</t>
        </is>
      </c>
      <c r="M164" s="14" t="inlineStr">
        <is>
          <t>VA</t>
        </is>
      </c>
      <c r="N164" s="14" t="inlineStr">
        <is>
          <t>JM3KFBAM9P0262346</t>
        </is>
      </c>
      <c r="O164" s="14" t="n"/>
      <c r="P164" s="22" t="n"/>
      <c r="Q164" s="22" t="n"/>
      <c r="R164" s="30" t="n"/>
      <c r="S164" s="14" t="n"/>
      <c r="T164" s="14" t="n"/>
      <c r="U164" s="14" t="n"/>
      <c r="V164" s="30" t="n"/>
      <c r="W164" s="30" t="n"/>
      <c r="X164" s="14" t="n"/>
      <c r="Y164" s="14" t="inlineStr">
        <is>
          <t>xfer $1999</t>
        </is>
      </c>
      <c r="Z164" s="38" t="inlineStr">
        <is>
          <t>open</t>
        </is>
      </c>
    </row>
    <row r="165">
      <c r="B165" s="31" t="b">
        <v>0</v>
      </c>
      <c r="C165" s="31" t="inlineStr">
        <is>
          <t>unwanted trim</t>
        </is>
      </c>
      <c r="D165" s="21" t="n"/>
      <c r="E165" s="14" t="inlineStr">
        <is>
          <t>CarMax</t>
        </is>
      </c>
      <c r="F165" s="14" t="inlineStr"/>
      <c r="G165" s="28" t="n">
        <v>2023</v>
      </c>
      <c r="H165" s="14" t="inlineStr">
        <is>
          <t>2.5 S Select Package</t>
        </is>
      </c>
      <c r="I165" s="30" t="n">
        <v>21607</v>
      </c>
      <c r="J165" s="22" t="n">
        <v>26998</v>
      </c>
      <c r="K165" s="14" t="inlineStr">
        <is>
          <t>CarMax Midlothian</t>
        </is>
      </c>
      <c r="L165" s="14" t="inlineStr">
        <is>
          <t>Midlothian</t>
        </is>
      </c>
      <c r="M165" s="14" t="inlineStr">
        <is>
          <t>VA</t>
        </is>
      </c>
      <c r="N165" s="14" t="inlineStr">
        <is>
          <t>JM3KFBBM4P0242942</t>
        </is>
      </c>
      <c r="O165" s="14" t="n"/>
      <c r="P165" s="22" t="n"/>
      <c r="Q165" s="22" t="n"/>
      <c r="R165" s="30" t="n"/>
      <c r="S165" s="14" t="n"/>
      <c r="T165" s="14" t="n"/>
      <c r="U165" s="14" t="n"/>
      <c r="V165" s="30" t="n"/>
      <c r="W165" s="30" t="n"/>
      <c r="X165" s="14" t="n"/>
      <c r="Y165" s="14" t="inlineStr">
        <is>
          <t>xfer $1999</t>
        </is>
      </c>
      <c r="Z165" s="38" t="inlineStr">
        <is>
          <t>open</t>
        </is>
      </c>
    </row>
    <row r="166">
      <c r="B166" s="31" t="b">
        <v>0</v>
      </c>
      <c r="C166" s="31" t="inlineStr">
        <is>
          <t>accident</t>
        </is>
      </c>
      <c r="D166" s="21" t="n"/>
      <c r="E166" s="14" t="inlineStr">
        <is>
          <t>KBB</t>
        </is>
      </c>
      <c r="F166" s="14" t="inlineStr"/>
      <c r="G166" s="28" t="n">
        <v>2021</v>
      </c>
      <c r="H166" s="14" t="inlineStr">
        <is>
          <t>Grand Touring</t>
        </is>
      </c>
      <c r="I166" s="30" t="n">
        <v>30066</v>
      </c>
      <c r="J166" s="22" t="n">
        <v>25799</v>
      </c>
      <c r="K166" s="14" t="inlineStr">
        <is>
          <t>Auto 206 Inc.</t>
        </is>
      </c>
      <c r="L166" s="14" t="inlineStr">
        <is>
          <t>Kent</t>
        </is>
      </c>
      <c r="M166" s="14" t="inlineStr">
        <is>
          <t>WA</t>
        </is>
      </c>
      <c r="N166" s="14" t="inlineStr">
        <is>
          <t>JM3KFBDM0M0305902</t>
        </is>
      </c>
      <c r="O166" s="14" t="n"/>
      <c r="P166" s="22" t="n"/>
      <c r="Q166" s="22" t="n"/>
      <c r="R166" s="30" t="n">
        <v>1</v>
      </c>
      <c r="S166" s="14" t="b">
        <v>1</v>
      </c>
      <c r="T166" s="14" t="n">
        <v>1</v>
      </c>
      <c r="U166" s="14" t="b">
        <v>0</v>
      </c>
      <c r="V166" s="30" t="n"/>
      <c r="W166" s="30" t="n"/>
      <c r="X166" s="14" t="n"/>
      <c r="Y166" s="14" t="inlineStr"/>
      <c r="Z166" s="38" t="inlineStr">
        <is>
          <t>open</t>
        </is>
      </c>
    </row>
    <row r="167">
      <c r="B167" s="31" t="b">
        <v>0</v>
      </c>
      <c r="C167" s="31" t="inlineStr">
        <is>
          <t>unwanted trim</t>
        </is>
      </c>
      <c r="D167" s="21" t="n"/>
      <c r="E167" s="14" t="inlineStr">
        <is>
          <t>KBB</t>
        </is>
      </c>
      <c r="F167" s="14" t="inlineStr"/>
      <c r="G167" s="28" t="n">
        <v>2023</v>
      </c>
      <c r="H167" s="14" t="inlineStr">
        <is>
          <t>AWD 2.5 S</t>
        </is>
      </c>
      <c r="I167" s="30" t="n">
        <v>17483</v>
      </c>
      <c r="J167" s="22" t="n">
        <v>28240</v>
      </c>
      <c r="K167" s="14" t="inlineStr">
        <is>
          <t>Mercedes-Benz of Portland</t>
        </is>
      </c>
      <c r="L167" s="14" t="inlineStr">
        <is>
          <t>Portland</t>
        </is>
      </c>
      <c r="M167" s="14" t="inlineStr">
        <is>
          <t>OR</t>
        </is>
      </c>
      <c r="N167" s="14" t="inlineStr">
        <is>
          <t>JM3KFBCM9P0218151</t>
        </is>
      </c>
      <c r="O167" s="14" t="n"/>
      <c r="P167" s="22" t="n"/>
      <c r="Q167" s="22" t="n">
        <v>-1290</v>
      </c>
      <c r="R167" s="30" t="n">
        <v>28</v>
      </c>
      <c r="S167" s="14" t="b">
        <v>1</v>
      </c>
      <c r="T167" s="14" t="n">
        <v>0</v>
      </c>
      <c r="U167" s="14" t="b">
        <v>0</v>
      </c>
      <c r="V167" s="30" t="n"/>
      <c r="W167" s="30" t="n"/>
      <c r="X167" s="14" t="n"/>
      <c r="Y167" s="14" t="inlineStr"/>
      <c r="Z167" s="38" t="inlineStr">
        <is>
          <t>open</t>
        </is>
      </c>
    </row>
    <row r="168">
      <c r="B168" s="31" t="b">
        <v>0</v>
      </c>
      <c r="C168" s="31" t="inlineStr">
        <is>
          <t>unwanted trim</t>
        </is>
      </c>
      <c r="D168" s="21" t="n"/>
      <c r="E168" s="14" t="inlineStr">
        <is>
          <t>KBB</t>
        </is>
      </c>
      <c r="F168" s="14" t="inlineStr"/>
      <c r="G168" s="28" t="n">
        <v>2022</v>
      </c>
      <c r="H168" s="14" t="inlineStr">
        <is>
          <t>AWD 2.5 S w/ Select Package</t>
        </is>
      </c>
      <c r="I168" s="30" t="n">
        <v>37505</v>
      </c>
      <c r="J168" s="22" t="n">
        <v>26998</v>
      </c>
      <c r="K168" s="14" t="inlineStr">
        <is>
          <t>Foothills Toyota</t>
        </is>
      </c>
      <c r="L168" s="14" t="inlineStr">
        <is>
          <t>Burlington</t>
        </is>
      </c>
      <c r="M168" s="14" t="inlineStr">
        <is>
          <t>WA</t>
        </is>
      </c>
      <c r="N168" s="14" t="inlineStr">
        <is>
          <t>JM3KFBBM4N0605396</t>
        </is>
      </c>
      <c r="O168" s="14" t="n"/>
      <c r="P168" s="22" t="n"/>
      <c r="Q168" s="22" t="n">
        <v>-3438</v>
      </c>
      <c r="R168" s="30" t="n">
        <v>5</v>
      </c>
      <c r="S168" s="14" t="b">
        <v>0</v>
      </c>
      <c r="T168" s="14" t="n">
        <v>0</v>
      </c>
      <c r="U168" s="14" t="b">
        <v>0</v>
      </c>
      <c r="V168" s="30" t="n"/>
      <c r="W168" s="30" t="n"/>
      <c r="X168" s="14" t="n"/>
      <c r="Y168" s="14" t="inlineStr"/>
      <c r="Z168" s="38" t="inlineStr">
        <is>
          <t>open</t>
        </is>
      </c>
    </row>
  </sheetData>
  <autoFilter ref="B5:Z168"/>
  <hyperlinks>
    <hyperlink xmlns:r="http://schemas.openxmlformats.org/officeDocument/2006/relationships" ref="Z6" r:id="rId1"/>
    <hyperlink xmlns:r="http://schemas.openxmlformats.org/officeDocument/2006/relationships" ref="Z7" r:id="rId2"/>
    <hyperlink xmlns:r="http://schemas.openxmlformats.org/officeDocument/2006/relationships" ref="Z8" r:id="rId3"/>
    <hyperlink xmlns:r="http://schemas.openxmlformats.org/officeDocument/2006/relationships" ref="Z9" r:id="rId4"/>
    <hyperlink xmlns:r="http://schemas.openxmlformats.org/officeDocument/2006/relationships" ref="Z10" r:id="rId5"/>
    <hyperlink xmlns:r="http://schemas.openxmlformats.org/officeDocument/2006/relationships" ref="Z11" r:id="rId6"/>
    <hyperlink xmlns:r="http://schemas.openxmlformats.org/officeDocument/2006/relationships" ref="Z12" r:id="rId7"/>
    <hyperlink xmlns:r="http://schemas.openxmlformats.org/officeDocument/2006/relationships" ref="Z13" r:id="rId8"/>
    <hyperlink xmlns:r="http://schemas.openxmlformats.org/officeDocument/2006/relationships" ref="Z14" r:id="rId9"/>
    <hyperlink xmlns:r="http://schemas.openxmlformats.org/officeDocument/2006/relationships" ref="Z15" r:id="rId10"/>
    <hyperlink xmlns:r="http://schemas.openxmlformats.org/officeDocument/2006/relationships" ref="Z16" r:id="rId11"/>
    <hyperlink xmlns:r="http://schemas.openxmlformats.org/officeDocument/2006/relationships" ref="Z17" r:id="rId12"/>
    <hyperlink xmlns:r="http://schemas.openxmlformats.org/officeDocument/2006/relationships" ref="Z18" r:id="rId13"/>
    <hyperlink xmlns:r="http://schemas.openxmlformats.org/officeDocument/2006/relationships" ref="Z19" r:id="rId14"/>
    <hyperlink xmlns:r="http://schemas.openxmlformats.org/officeDocument/2006/relationships" ref="Z20" r:id="rId15"/>
    <hyperlink xmlns:r="http://schemas.openxmlformats.org/officeDocument/2006/relationships" ref="Z21" r:id="rId16"/>
    <hyperlink xmlns:r="http://schemas.openxmlformats.org/officeDocument/2006/relationships" ref="Z22" r:id="rId17"/>
    <hyperlink xmlns:r="http://schemas.openxmlformats.org/officeDocument/2006/relationships" ref="Z23" r:id="rId18"/>
    <hyperlink xmlns:r="http://schemas.openxmlformats.org/officeDocument/2006/relationships" ref="Z24" r:id="rId19"/>
    <hyperlink xmlns:r="http://schemas.openxmlformats.org/officeDocument/2006/relationships" ref="Z25" r:id="rId20"/>
    <hyperlink xmlns:r="http://schemas.openxmlformats.org/officeDocument/2006/relationships" ref="Z26" r:id="rId21"/>
    <hyperlink xmlns:r="http://schemas.openxmlformats.org/officeDocument/2006/relationships" ref="Z27" r:id="rId22"/>
    <hyperlink xmlns:r="http://schemas.openxmlformats.org/officeDocument/2006/relationships" ref="Z28" r:id="rId23"/>
    <hyperlink xmlns:r="http://schemas.openxmlformats.org/officeDocument/2006/relationships" ref="Z29" r:id="rId24"/>
    <hyperlink xmlns:r="http://schemas.openxmlformats.org/officeDocument/2006/relationships" ref="Z30" r:id="rId25"/>
    <hyperlink xmlns:r="http://schemas.openxmlformats.org/officeDocument/2006/relationships" ref="Z31" r:id="rId26"/>
    <hyperlink xmlns:r="http://schemas.openxmlformats.org/officeDocument/2006/relationships" ref="Z32" r:id="rId27"/>
    <hyperlink xmlns:r="http://schemas.openxmlformats.org/officeDocument/2006/relationships" ref="Z33" r:id="rId28"/>
    <hyperlink xmlns:r="http://schemas.openxmlformats.org/officeDocument/2006/relationships" ref="Z34" r:id="rId29"/>
    <hyperlink xmlns:r="http://schemas.openxmlformats.org/officeDocument/2006/relationships" ref="Z35" r:id="rId30"/>
    <hyperlink xmlns:r="http://schemas.openxmlformats.org/officeDocument/2006/relationships" ref="Z36" r:id="rId31"/>
    <hyperlink xmlns:r="http://schemas.openxmlformats.org/officeDocument/2006/relationships" ref="Z37" r:id="rId32"/>
    <hyperlink xmlns:r="http://schemas.openxmlformats.org/officeDocument/2006/relationships" ref="Z38" r:id="rId33"/>
    <hyperlink xmlns:r="http://schemas.openxmlformats.org/officeDocument/2006/relationships" ref="Z39" r:id="rId34"/>
    <hyperlink xmlns:r="http://schemas.openxmlformats.org/officeDocument/2006/relationships" ref="Z40" r:id="rId35"/>
    <hyperlink xmlns:r="http://schemas.openxmlformats.org/officeDocument/2006/relationships" ref="Z41" r:id="rId36"/>
    <hyperlink xmlns:r="http://schemas.openxmlformats.org/officeDocument/2006/relationships" ref="Z42" r:id="rId37"/>
    <hyperlink xmlns:r="http://schemas.openxmlformats.org/officeDocument/2006/relationships" ref="Z43" r:id="rId38"/>
    <hyperlink xmlns:r="http://schemas.openxmlformats.org/officeDocument/2006/relationships" ref="Z44" r:id="rId39"/>
    <hyperlink xmlns:r="http://schemas.openxmlformats.org/officeDocument/2006/relationships" ref="Z45" r:id="rId40"/>
    <hyperlink xmlns:r="http://schemas.openxmlformats.org/officeDocument/2006/relationships" ref="Z46" r:id="rId41"/>
    <hyperlink xmlns:r="http://schemas.openxmlformats.org/officeDocument/2006/relationships" ref="Z47" r:id="rId42"/>
    <hyperlink xmlns:r="http://schemas.openxmlformats.org/officeDocument/2006/relationships" ref="Z50" r:id="rId43"/>
    <hyperlink xmlns:r="http://schemas.openxmlformats.org/officeDocument/2006/relationships" ref="Z51" r:id="rId44"/>
    <hyperlink xmlns:r="http://schemas.openxmlformats.org/officeDocument/2006/relationships" ref="Z53" r:id="rId45"/>
    <hyperlink xmlns:r="http://schemas.openxmlformats.org/officeDocument/2006/relationships" ref="Z54" r:id="rId46"/>
    <hyperlink xmlns:r="http://schemas.openxmlformats.org/officeDocument/2006/relationships" ref="Z56" r:id="rId47"/>
    <hyperlink xmlns:r="http://schemas.openxmlformats.org/officeDocument/2006/relationships" ref="Z58" r:id="rId48"/>
    <hyperlink xmlns:r="http://schemas.openxmlformats.org/officeDocument/2006/relationships" ref="Z59" r:id="rId49"/>
    <hyperlink xmlns:r="http://schemas.openxmlformats.org/officeDocument/2006/relationships" ref="Z60" r:id="rId50"/>
    <hyperlink xmlns:r="http://schemas.openxmlformats.org/officeDocument/2006/relationships" ref="Z61" r:id="rId51"/>
    <hyperlink xmlns:r="http://schemas.openxmlformats.org/officeDocument/2006/relationships" ref="Z62" r:id="rId52"/>
    <hyperlink xmlns:r="http://schemas.openxmlformats.org/officeDocument/2006/relationships" ref="Z63" r:id="rId53"/>
    <hyperlink xmlns:r="http://schemas.openxmlformats.org/officeDocument/2006/relationships" ref="Z64" r:id="rId54"/>
    <hyperlink xmlns:r="http://schemas.openxmlformats.org/officeDocument/2006/relationships" ref="Z65" r:id="rId55"/>
    <hyperlink xmlns:r="http://schemas.openxmlformats.org/officeDocument/2006/relationships" ref="Z66" r:id="rId56"/>
    <hyperlink xmlns:r="http://schemas.openxmlformats.org/officeDocument/2006/relationships" ref="Z67" r:id="rId57"/>
    <hyperlink xmlns:r="http://schemas.openxmlformats.org/officeDocument/2006/relationships" ref="Z69" r:id="rId58"/>
    <hyperlink xmlns:r="http://schemas.openxmlformats.org/officeDocument/2006/relationships" ref="Z70" r:id="rId59"/>
    <hyperlink xmlns:r="http://schemas.openxmlformats.org/officeDocument/2006/relationships" ref="Z71" r:id="rId60"/>
    <hyperlink xmlns:r="http://schemas.openxmlformats.org/officeDocument/2006/relationships" ref="Z72" r:id="rId61"/>
    <hyperlink xmlns:r="http://schemas.openxmlformats.org/officeDocument/2006/relationships" ref="Z73" r:id="rId62"/>
    <hyperlink xmlns:r="http://schemas.openxmlformats.org/officeDocument/2006/relationships" ref="Z74" r:id="rId63"/>
    <hyperlink xmlns:r="http://schemas.openxmlformats.org/officeDocument/2006/relationships" ref="Z75" r:id="rId64"/>
    <hyperlink xmlns:r="http://schemas.openxmlformats.org/officeDocument/2006/relationships" ref="Z76" r:id="rId65"/>
    <hyperlink xmlns:r="http://schemas.openxmlformats.org/officeDocument/2006/relationships" ref="Z77" r:id="rId66"/>
    <hyperlink xmlns:r="http://schemas.openxmlformats.org/officeDocument/2006/relationships" ref="Z78" r:id="rId67"/>
    <hyperlink xmlns:r="http://schemas.openxmlformats.org/officeDocument/2006/relationships" ref="Z79" r:id="rId68"/>
    <hyperlink xmlns:r="http://schemas.openxmlformats.org/officeDocument/2006/relationships" ref="Z80" r:id="rId69"/>
    <hyperlink xmlns:r="http://schemas.openxmlformats.org/officeDocument/2006/relationships" ref="Z81" r:id="rId70"/>
    <hyperlink xmlns:r="http://schemas.openxmlformats.org/officeDocument/2006/relationships" ref="Z82" r:id="rId71"/>
    <hyperlink xmlns:r="http://schemas.openxmlformats.org/officeDocument/2006/relationships" ref="Z83" r:id="rId72"/>
    <hyperlink xmlns:r="http://schemas.openxmlformats.org/officeDocument/2006/relationships" ref="Z84" r:id="rId73"/>
    <hyperlink xmlns:r="http://schemas.openxmlformats.org/officeDocument/2006/relationships" ref="Z85" r:id="rId74"/>
    <hyperlink xmlns:r="http://schemas.openxmlformats.org/officeDocument/2006/relationships" ref="Z86" r:id="rId75"/>
    <hyperlink xmlns:r="http://schemas.openxmlformats.org/officeDocument/2006/relationships" ref="Z87" r:id="rId76"/>
    <hyperlink xmlns:r="http://schemas.openxmlformats.org/officeDocument/2006/relationships" ref="Z88" r:id="rId77"/>
    <hyperlink xmlns:r="http://schemas.openxmlformats.org/officeDocument/2006/relationships" ref="Z89" r:id="rId78"/>
    <hyperlink xmlns:r="http://schemas.openxmlformats.org/officeDocument/2006/relationships" ref="Z90" r:id="rId79"/>
    <hyperlink xmlns:r="http://schemas.openxmlformats.org/officeDocument/2006/relationships" ref="Z91" r:id="rId80"/>
    <hyperlink xmlns:r="http://schemas.openxmlformats.org/officeDocument/2006/relationships" ref="Z92" r:id="rId81"/>
    <hyperlink xmlns:r="http://schemas.openxmlformats.org/officeDocument/2006/relationships" ref="Z93" r:id="rId82"/>
    <hyperlink xmlns:r="http://schemas.openxmlformats.org/officeDocument/2006/relationships" ref="Z94" r:id="rId83"/>
    <hyperlink xmlns:r="http://schemas.openxmlformats.org/officeDocument/2006/relationships" ref="Z95" r:id="rId84"/>
    <hyperlink xmlns:r="http://schemas.openxmlformats.org/officeDocument/2006/relationships" ref="Z96" r:id="rId85"/>
    <hyperlink xmlns:r="http://schemas.openxmlformats.org/officeDocument/2006/relationships" ref="Z97" r:id="rId86"/>
    <hyperlink xmlns:r="http://schemas.openxmlformats.org/officeDocument/2006/relationships" ref="Z98" r:id="rId87"/>
    <hyperlink xmlns:r="http://schemas.openxmlformats.org/officeDocument/2006/relationships" ref="Z99" r:id="rId88"/>
    <hyperlink xmlns:r="http://schemas.openxmlformats.org/officeDocument/2006/relationships" ref="Z100" r:id="rId89"/>
    <hyperlink xmlns:r="http://schemas.openxmlformats.org/officeDocument/2006/relationships" ref="Z101" r:id="rId90"/>
    <hyperlink xmlns:r="http://schemas.openxmlformats.org/officeDocument/2006/relationships" ref="Z102" r:id="rId91"/>
    <hyperlink xmlns:r="http://schemas.openxmlformats.org/officeDocument/2006/relationships" ref="Z103" r:id="rId92"/>
    <hyperlink xmlns:r="http://schemas.openxmlformats.org/officeDocument/2006/relationships" ref="Z104" r:id="rId93"/>
    <hyperlink xmlns:r="http://schemas.openxmlformats.org/officeDocument/2006/relationships" ref="Z105" r:id="rId94"/>
    <hyperlink xmlns:r="http://schemas.openxmlformats.org/officeDocument/2006/relationships" ref="Z106" r:id="rId95"/>
    <hyperlink xmlns:r="http://schemas.openxmlformats.org/officeDocument/2006/relationships" ref="Z108" r:id="rId96"/>
    <hyperlink xmlns:r="http://schemas.openxmlformats.org/officeDocument/2006/relationships" ref="Z109" r:id="rId97"/>
    <hyperlink xmlns:r="http://schemas.openxmlformats.org/officeDocument/2006/relationships" ref="Z110" r:id="rId98"/>
    <hyperlink xmlns:r="http://schemas.openxmlformats.org/officeDocument/2006/relationships" ref="Z111" r:id="rId99"/>
    <hyperlink xmlns:r="http://schemas.openxmlformats.org/officeDocument/2006/relationships" ref="Z113" r:id="rId100"/>
    <hyperlink xmlns:r="http://schemas.openxmlformats.org/officeDocument/2006/relationships" ref="Z114" r:id="rId101"/>
    <hyperlink xmlns:r="http://schemas.openxmlformats.org/officeDocument/2006/relationships" ref="Z115" r:id="rId102"/>
    <hyperlink xmlns:r="http://schemas.openxmlformats.org/officeDocument/2006/relationships" ref="Z116" r:id="rId103"/>
    <hyperlink xmlns:r="http://schemas.openxmlformats.org/officeDocument/2006/relationships" ref="Z117" r:id="rId104"/>
    <hyperlink xmlns:r="http://schemas.openxmlformats.org/officeDocument/2006/relationships" ref="Z118" r:id="rId105"/>
    <hyperlink xmlns:r="http://schemas.openxmlformats.org/officeDocument/2006/relationships" ref="Z119" r:id="rId106"/>
    <hyperlink xmlns:r="http://schemas.openxmlformats.org/officeDocument/2006/relationships" ref="Z120" r:id="rId107"/>
    <hyperlink xmlns:r="http://schemas.openxmlformats.org/officeDocument/2006/relationships" ref="Z121" r:id="rId108"/>
    <hyperlink xmlns:r="http://schemas.openxmlformats.org/officeDocument/2006/relationships" ref="Z122" r:id="rId109"/>
    <hyperlink xmlns:r="http://schemas.openxmlformats.org/officeDocument/2006/relationships" ref="Z123" r:id="rId110"/>
    <hyperlink xmlns:r="http://schemas.openxmlformats.org/officeDocument/2006/relationships" ref="Z124" r:id="rId111"/>
    <hyperlink xmlns:r="http://schemas.openxmlformats.org/officeDocument/2006/relationships" ref="Z125" r:id="rId112"/>
    <hyperlink xmlns:r="http://schemas.openxmlformats.org/officeDocument/2006/relationships" ref="Z126" r:id="rId113"/>
    <hyperlink xmlns:r="http://schemas.openxmlformats.org/officeDocument/2006/relationships" ref="Z127" r:id="rId114"/>
    <hyperlink xmlns:r="http://schemas.openxmlformats.org/officeDocument/2006/relationships" ref="Z128" r:id="rId115"/>
    <hyperlink xmlns:r="http://schemas.openxmlformats.org/officeDocument/2006/relationships" ref="Z129" r:id="rId116"/>
    <hyperlink xmlns:r="http://schemas.openxmlformats.org/officeDocument/2006/relationships" ref="Z130" r:id="rId117"/>
    <hyperlink xmlns:r="http://schemas.openxmlformats.org/officeDocument/2006/relationships" ref="Z131" r:id="rId118"/>
    <hyperlink xmlns:r="http://schemas.openxmlformats.org/officeDocument/2006/relationships" ref="Z132" r:id="rId119"/>
    <hyperlink xmlns:r="http://schemas.openxmlformats.org/officeDocument/2006/relationships" ref="Z133" r:id="rId120"/>
    <hyperlink xmlns:r="http://schemas.openxmlformats.org/officeDocument/2006/relationships" ref="Z134" r:id="rId121"/>
    <hyperlink xmlns:r="http://schemas.openxmlformats.org/officeDocument/2006/relationships" ref="Z135" r:id="rId122"/>
    <hyperlink xmlns:r="http://schemas.openxmlformats.org/officeDocument/2006/relationships" ref="Z136" r:id="rId123"/>
    <hyperlink xmlns:r="http://schemas.openxmlformats.org/officeDocument/2006/relationships" ref="Z137" r:id="rId124"/>
    <hyperlink xmlns:r="http://schemas.openxmlformats.org/officeDocument/2006/relationships" ref="Z138" r:id="rId125"/>
    <hyperlink xmlns:r="http://schemas.openxmlformats.org/officeDocument/2006/relationships" ref="Z139" r:id="rId126"/>
    <hyperlink xmlns:r="http://schemas.openxmlformats.org/officeDocument/2006/relationships" ref="Z140" r:id="rId127"/>
    <hyperlink xmlns:r="http://schemas.openxmlformats.org/officeDocument/2006/relationships" ref="Z141" r:id="rId128"/>
    <hyperlink xmlns:r="http://schemas.openxmlformats.org/officeDocument/2006/relationships" ref="Z142" r:id="rId129"/>
    <hyperlink xmlns:r="http://schemas.openxmlformats.org/officeDocument/2006/relationships" ref="Z143" r:id="rId130"/>
    <hyperlink xmlns:r="http://schemas.openxmlformats.org/officeDocument/2006/relationships" ref="Z144" r:id="rId131"/>
    <hyperlink xmlns:r="http://schemas.openxmlformats.org/officeDocument/2006/relationships" ref="Z145" r:id="rId132"/>
    <hyperlink xmlns:r="http://schemas.openxmlformats.org/officeDocument/2006/relationships" ref="Z146" r:id="rId133"/>
    <hyperlink xmlns:r="http://schemas.openxmlformats.org/officeDocument/2006/relationships" ref="Z147" r:id="rId134"/>
    <hyperlink xmlns:r="http://schemas.openxmlformats.org/officeDocument/2006/relationships" ref="Z148" r:id="rId135"/>
    <hyperlink xmlns:r="http://schemas.openxmlformats.org/officeDocument/2006/relationships" ref="Z149" r:id="rId136"/>
    <hyperlink xmlns:r="http://schemas.openxmlformats.org/officeDocument/2006/relationships" ref="Z150" r:id="rId137"/>
    <hyperlink xmlns:r="http://schemas.openxmlformats.org/officeDocument/2006/relationships" ref="Z151" r:id="rId138"/>
    <hyperlink xmlns:r="http://schemas.openxmlformats.org/officeDocument/2006/relationships" ref="Z152" r:id="rId139"/>
    <hyperlink xmlns:r="http://schemas.openxmlformats.org/officeDocument/2006/relationships" ref="Z153" r:id="rId140"/>
    <hyperlink xmlns:r="http://schemas.openxmlformats.org/officeDocument/2006/relationships" ref="Z154" r:id="rId141"/>
    <hyperlink xmlns:r="http://schemas.openxmlformats.org/officeDocument/2006/relationships" ref="Z155" r:id="rId142"/>
    <hyperlink xmlns:r="http://schemas.openxmlformats.org/officeDocument/2006/relationships" ref="Z156" r:id="rId143"/>
    <hyperlink xmlns:r="http://schemas.openxmlformats.org/officeDocument/2006/relationships" ref="Z157" r:id="rId144"/>
    <hyperlink xmlns:r="http://schemas.openxmlformats.org/officeDocument/2006/relationships" ref="Z158" r:id="rId145"/>
    <hyperlink xmlns:r="http://schemas.openxmlformats.org/officeDocument/2006/relationships" ref="Z159" r:id="rId146"/>
    <hyperlink xmlns:r="http://schemas.openxmlformats.org/officeDocument/2006/relationships" ref="Z160" r:id="rId147"/>
    <hyperlink xmlns:r="http://schemas.openxmlformats.org/officeDocument/2006/relationships" ref="Z161" r:id="rId148"/>
    <hyperlink xmlns:r="http://schemas.openxmlformats.org/officeDocument/2006/relationships" ref="Z162" r:id="rId149"/>
    <hyperlink xmlns:r="http://schemas.openxmlformats.org/officeDocument/2006/relationships" ref="Z163" r:id="rId150"/>
    <hyperlink xmlns:r="http://schemas.openxmlformats.org/officeDocument/2006/relationships" ref="Z164" r:id="rId151"/>
    <hyperlink xmlns:r="http://schemas.openxmlformats.org/officeDocument/2006/relationships" ref="Z165" r:id="rId152"/>
    <hyperlink xmlns:r="http://schemas.openxmlformats.org/officeDocument/2006/relationships" ref="Z166" r:id="rId153"/>
    <hyperlink xmlns:r="http://schemas.openxmlformats.org/officeDocument/2006/relationships" ref="Z167" r:id="rId154"/>
    <hyperlink xmlns:r="http://schemas.openxmlformats.org/officeDocument/2006/relationships" ref="Z168" r:id="rId15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2:H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.5" customWidth="1" min="1" max="1"/>
    <col width="30" customWidth="1" min="2" max="2"/>
    <col width="11" customWidth="1" min="3" max="3"/>
    <col width="15" customWidth="1" min="4" max="4"/>
    <col width="9" customWidth="1" min="5" max="5"/>
    <col width="18" customWidth="1" min="6" max="6"/>
    <col width="13" customWidth="1" min="7" max="7"/>
    <col width="52" customWidth="1" min="8" max="8"/>
  </cols>
  <sheetData>
    <row r="2" ht="24" customHeight="1">
      <c r="B2" s="1" t="inlineStr">
        <is>
          <t>CarMax / Carvana no-haggle ceiling</t>
        </is>
      </c>
      <c r="C2" s="2" t="n"/>
      <c r="D2" s="2" t="n"/>
      <c r="E2" s="2" t="n"/>
      <c r="F2" s="2" t="n"/>
      <c r="G2" s="2" t="n"/>
      <c r="H2" s="2" t="n"/>
    </row>
    <row r="3">
      <c r="B3" s="3" t="inlineStr">
        <is>
          <t>Walk-away numbers — if a dealer won't beat these for the same tier, buy the fixed-price unit.</t>
        </is>
      </c>
    </row>
    <row r="5" ht="30" customHeight="1">
      <c r="B5" s="4" t="inlineStr">
        <is>
          <t>Tier</t>
        </is>
      </c>
      <c r="C5" s="4" t="inlineStr">
        <is>
          <t>Seller</t>
        </is>
      </c>
      <c r="D5" s="4" t="inlineStr">
        <is>
          <t>No-haggle price</t>
        </is>
      </c>
      <c r="E5" s="4" t="inlineStr">
        <is>
          <t>Miles</t>
        </is>
      </c>
      <c r="F5" s="4" t="inlineStr">
        <is>
          <t>Location</t>
        </is>
      </c>
      <c r="G5" s="4" t="inlineStr">
        <is>
          <t>Transfer fee</t>
        </is>
      </c>
      <c r="H5" s="4" t="inlineStr">
        <is>
          <t>Note</t>
        </is>
      </c>
    </row>
    <row r="6">
      <c r="B6" s="14" t="inlineStr">
        <is>
          <t>2022 NA-high (Carbon/Premium)</t>
        </is>
      </c>
      <c r="C6" s="18" t="inlineStr">
        <is>
          <t>CarMax</t>
        </is>
      </c>
      <c r="D6" s="22" t="n">
        <v>24998</v>
      </c>
      <c r="E6" s="14" t="inlineStr">
        <is>
          <t>48k</t>
        </is>
      </c>
      <c r="F6" s="14" t="inlineStr">
        <is>
          <t>Sacramento, CA</t>
        </is>
      </c>
      <c r="G6" s="22" t="n">
        <v>199</v>
      </c>
      <c r="H6" s="14" t="inlineStr">
        <is>
          <t>Pick #11</t>
        </is>
      </c>
    </row>
    <row r="7">
      <c r="B7" s="14" t="inlineStr">
        <is>
          <t>2022 NA-high (Carbon/Premium)</t>
        </is>
      </c>
      <c r="C7" s="18" t="inlineStr">
        <is>
          <t>Carvana</t>
        </is>
      </c>
      <c r="D7" s="22" t="n">
        <v>28590</v>
      </c>
      <c r="E7" s="14" t="inlineStr">
        <is>
          <t>15k</t>
        </is>
      </c>
      <c r="F7" s="14" t="inlineStr">
        <is>
          <t>—</t>
        </is>
      </c>
      <c r="G7" s="22" t="n"/>
      <c r="H7" s="14" t="inlineStr">
        <is>
          <t>Premium</t>
        </is>
      </c>
    </row>
    <row r="8">
      <c r="B8" s="14" t="inlineStr">
        <is>
          <t>2023 NA-mid (Preferred)</t>
        </is>
      </c>
      <c r="C8" s="18" t="inlineStr">
        <is>
          <t>CarMax</t>
        </is>
      </c>
      <c r="D8" s="22" t="n">
        <v>24998</v>
      </c>
      <c r="E8" s="14" t="inlineStr">
        <is>
          <t>43k</t>
        </is>
      </c>
      <c r="F8" s="14" t="inlineStr">
        <is>
          <t>Parker, CO</t>
        </is>
      </c>
      <c r="G8" s="22" t="n">
        <v>749</v>
      </c>
      <c r="H8" s="14" t="inlineStr"/>
    </row>
    <row r="9">
      <c r="B9" s="14" t="inlineStr">
        <is>
          <t>2023 NA-mid (Preferred)</t>
        </is>
      </c>
      <c r="C9" s="18" t="inlineStr">
        <is>
          <t>Carvana</t>
        </is>
      </c>
      <c r="D9" s="22" t="n">
        <v>24590</v>
      </c>
      <c r="E9" s="14" t="inlineStr">
        <is>
          <t>41k</t>
        </is>
      </c>
      <c r="F9" s="14" t="inlineStr">
        <is>
          <t>—</t>
        </is>
      </c>
      <c r="G9" s="22" t="n"/>
      <c r="H9" s="14" t="inlineStr"/>
    </row>
    <row r="10">
      <c r="B10" s="14" t="inlineStr">
        <is>
          <t>2022 Turbo</t>
        </is>
      </c>
      <c r="C10" s="18" t="inlineStr">
        <is>
          <t>CarMax</t>
        </is>
      </c>
      <c r="D10" s="22" t="n">
        <v>25998</v>
      </c>
      <c r="E10" s="14" t="inlineStr">
        <is>
          <t>40k</t>
        </is>
      </c>
      <c r="F10" s="14" t="inlineStr">
        <is>
          <t>—</t>
        </is>
      </c>
      <c r="G10" s="22" t="n">
        <v>1999</v>
      </c>
      <c r="H10" s="14" t="inlineStr">
        <is>
          <t>Makes #2 at $27,300/25k mi fair, #6 at $25,198 an outright win</t>
        </is>
      </c>
    </row>
    <row r="12">
      <c r="B12" s="3" t="inlineStr">
        <is>
          <t>2022 NA-high (Carbon / Premium): CarMax $24,998 — 48k mi, Sacramento, +$199 xfer (pick #11) · Carvana $28,590 — 15k mi Premium</t>
        </is>
      </c>
    </row>
    <row r="13">
      <c r="B13" s="3" t="inlineStr">
        <is>
          <t>2023 NA-mid (Preferred): CarMax $24,998 — 43k mi, Parker CO, +$749 xfer · Carvana $24,590 — 41k mi</t>
        </is>
      </c>
    </row>
    <row r="14">
      <c r="B14" s="3" t="inlineStr">
        <is>
          <t>2022 Turbo: CarMax $25,998 — 40k mi, +$1,999 xfer — Makes #2 at $27,300 / 25k mi fair, and #6 at $25,198 an outright win.</t>
        </is>
      </c>
    </row>
  </sheetData>
  <autoFilter ref="B5:H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2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.5" customWidth="1" min="1" max="1"/>
    <col width="18" customWidth="1" min="2" max="2"/>
    <col width="20" customWidth="1" min="3" max="3"/>
    <col width="9" customWidth="1" min="4" max="4"/>
    <col width="100" customWidth="1" min="5" max="5"/>
  </cols>
  <sheetData>
    <row r="2" ht="24" customHeight="1">
      <c r="B2" s="1" t="inlineStr">
        <is>
          <t>Source coverage — 13 sources across 2 rounds</t>
        </is>
      </c>
      <c r="C2" s="2" t="n"/>
      <c r="D2" s="2" t="n"/>
      <c r="E2" s="2" t="n"/>
    </row>
    <row r="3">
      <c r="B3" s="3" t="inlineStr">
        <is>
          <t>Captured Aug 7, 2026. 278 raw listings → 153 unique VINs → 112 pass filter.</t>
        </is>
      </c>
    </row>
    <row r="5" ht="30" customHeight="1">
      <c r="B5" s="4" t="inlineStr">
        <is>
          <t>Source</t>
        </is>
      </c>
      <c r="C5" s="4" t="inlineStr">
        <is>
          <t>Status</t>
        </is>
      </c>
      <c r="D5" s="4" t="inlineStr">
        <is>
          <t>Pulled</t>
        </is>
      </c>
      <c r="E5" s="4" t="inlineStr">
        <is>
          <t>What it added</t>
        </is>
      </c>
    </row>
    <row r="6" ht="30" customHeight="1">
      <c r="B6" s="18" t="inlineStr">
        <is>
          <t>AutoTempest</t>
        </is>
      </c>
      <c r="C6" s="14" t="inlineStr">
        <is>
          <t>ok</t>
        </is>
      </c>
      <c r="D6" s="30" t="n">
        <v>77</v>
      </c>
      <c r="E6" s="8" t="inlineStr">
        <is>
          <t>Aggregator seed — Cars.com / CarGurus / TrueCar / Carvana / CarSoup / AutoByTel VINs in one shot</t>
        </is>
      </c>
    </row>
    <row r="7" ht="30" customHeight="1">
      <c r="B7" s="18" t="inlineStr">
        <is>
          <t>CarGurus</t>
        </is>
      </c>
      <c r="C7" s="14" t="inlineStr">
        <is>
          <t>ok (VDPs only)</t>
        </is>
      </c>
      <c r="D7" s="30" t="n">
        <v>41</v>
      </c>
      <c r="E7" s="8" t="inlineStr">
        <is>
          <t>Richest per-car data: accidents, owners, CPO, photo count, days-on-lot, $-below-market. Search page is DataDome-blocked; detail pages fetched via AutoTempest listing IDs</t>
        </is>
      </c>
    </row>
    <row r="8" ht="30" customHeight="1">
      <c r="B8" s="18" t="inlineStr">
        <is>
          <t>CarMax</t>
        </is>
      </c>
      <c r="C8" s="14" t="inlineStr">
        <is>
          <t>ok</t>
        </is>
      </c>
      <c r="D8" s="30" t="n">
        <v>72</v>
      </c>
      <c r="E8" s="8" t="inlineStr">
        <is>
          <t>National no-haggle floor via /cars/api/search/run JSON API. Transfer fees per unit</t>
        </is>
      </c>
    </row>
    <row r="9" ht="30" customHeight="1">
      <c r="B9" s="18" t="inlineStr">
        <is>
          <t>Carvana</t>
        </is>
      </c>
      <c r="C9" s="14" t="inlineStr">
        <is>
          <t>blocked (fallback ok)</t>
        </is>
      </c>
      <c r="D9" s="30" t="n">
        <v>10</v>
      </c>
      <c r="E9" s="8" t="inlineStr">
        <is>
          <t>Cloudflare Turnstile on carvana.com; 10 listings recovered via AutoTempest</t>
        </is>
      </c>
    </row>
    <row r="10" ht="30" customHeight="1">
      <c r="B10" s="18" t="inlineStr">
        <is>
          <t>KBB</t>
        </is>
      </c>
      <c r="C10" s="14" t="inlineStr">
        <is>
          <t>ok</t>
        </is>
      </c>
      <c r="D10" s="30" t="n">
        <v>47</v>
      </c>
      <c r="E10" s="8" t="inlineStr">
        <is>
          <t>Round-2 win. Per-listing KBB Fair Purchase Price + delta, price-drop history, AutoCheck vhrPreview (accidents / 1-owner), CPO flag. Cox backend = Autotrader inventory</t>
        </is>
      </c>
    </row>
    <row r="11" ht="30" customHeight="1">
      <c r="B11" s="18" t="inlineStr">
        <is>
          <t>iSeeCars</t>
        </is>
      </c>
      <c r="C11" s="14" t="inlineStr">
        <is>
          <t>ok</t>
        </is>
      </c>
      <c r="D11" s="30" t="n">
        <v>20</v>
      </c>
      <c r="E11" s="8" t="inlineStr">
        <is>
          <t>Price/miles only (no VIN on search page). 15/20 soft-matched to existing VINs — confirmed cross-listing, no net-new inventory</t>
        </is>
      </c>
    </row>
    <row r="12" ht="30" customHeight="1">
      <c r="B12" s="18" t="inlineStr">
        <is>
          <t>Craigslist</t>
        </is>
      </c>
      <c r="C12" s="14" t="inlineStr">
        <is>
          <t>ok</t>
        </is>
      </c>
      <c r="D12" s="30" t="n">
        <v>11</v>
      </c>
      <c r="E12" s="8" t="inlineStr">
        <is>
          <t>All dealer reposts (Royal Moore, Mazda of Gladstone, Ron Tonkin). No private-party CX-5s in range. No VINs on search page</t>
        </is>
      </c>
    </row>
    <row r="13" ht="30" customHeight="1">
      <c r="B13" s="18" t="inlineStr">
        <is>
          <t>Autotrader</t>
        </is>
      </c>
      <c r="C13" s="14" t="inlineStr">
        <is>
          <t>blocked</t>
        </is>
      </c>
      <c r="D13" s="30" t="n">
        <v>0</v>
      </c>
      <c r="E13" s="8" t="inlineStr">
        <is>
          <t>Akamai bot-block (headful too). Same Cox inventory as KBB — covered</t>
        </is>
      </c>
    </row>
    <row r="14" ht="30" customHeight="1">
      <c r="B14" s="18" t="inlineStr">
        <is>
          <t>Edmunds</t>
        </is>
      </c>
      <c r="C14" s="14" t="inlineStr">
        <is>
          <t>blocked</t>
        </is>
      </c>
      <c r="D14" s="30" t="n">
        <v>0</v>
      </c>
      <c r="E14" s="8" t="inlineStr">
        <is>
          <t>403 edge/WAF, IP-based. Tried headless, headful, direct API</t>
        </is>
      </c>
    </row>
    <row r="15" ht="30" customHeight="1">
      <c r="B15" s="18" t="inlineStr">
        <is>
          <t>Cars.com (VDPs)</t>
        </is>
      </c>
      <c r="C15" s="14" t="inlineStr">
        <is>
          <t>blocked</t>
        </is>
      </c>
      <c r="D15" s="30" t="n">
        <v>0</v>
      </c>
      <c r="E15" s="8" t="inlineStr">
        <is>
          <t>Cloudflare challenge on detail pages. Search-page data via AutoTempest is fine (18 listings)</t>
        </is>
      </c>
    </row>
    <row r="16" ht="30" customHeight="1">
      <c r="B16" s="18" t="inlineStr">
        <is>
          <t>TrueCar</t>
        </is>
      </c>
      <c r="C16" s="14" t="inlineStr">
        <is>
          <t>blocked</t>
        </is>
      </c>
      <c r="D16" s="30" t="n">
        <v>0</v>
      </c>
      <c r="E16" s="8" t="inlineStr">
        <is>
          <t>PerimeterX captcha. 5 listings recovered via AutoTempest</t>
        </is>
      </c>
    </row>
    <row r="17" ht="30" customHeight="1">
      <c r="B17" s="18" t="inlineStr">
        <is>
          <t>CarFax</t>
        </is>
      </c>
      <c r="C17" s="14" t="inlineStr">
        <is>
          <t>blocked</t>
        </is>
      </c>
      <c r="D17" s="30" t="n">
        <v>0</v>
      </c>
      <c r="E17" s="8" t="inlineStr">
        <is>
          <t>DataDome captcha (captcha-delivery.com)</t>
        </is>
      </c>
    </row>
    <row r="18" ht="30" customHeight="1">
      <c r="B18" s="18" t="inlineStr">
        <is>
          <t>FB Marketplace</t>
        </is>
      </c>
      <c r="C18" s="14" t="inlineStr">
        <is>
          <t>blocked</t>
        </is>
      </c>
      <c r="D18" s="30" t="n">
        <v>0</v>
      </c>
      <c r="E18" s="8" t="inlineStr">
        <is>
          <t>Login wall — skipped per read-only rule</t>
        </is>
      </c>
    </row>
    <row r="20">
      <c r="B20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1">
      <c r="B21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2">
      <c r="B22" s="3" t="inlineStr">
        <is>
          <t>NHTSA recalls: 0 open campaigns for MY2021–2023 CX-5 (checked 8/7/26). Verify by VIN at nhtsa.gov/recalls before purchase.</t>
        </is>
      </c>
    </row>
    <row r="23">
      <c r="B23" s="3" t="inlineStr">
        <is>
          <t>Footnote: 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24">
      <c r="B24" s="3" t="inlineStr">
        <is>
          <t>Footnote: KBB national FPP is default-zip (75201) at “typical” mileage — reads ~$3–5k below Seattle retail across the board. Use the Seattle-derived FPP column for delta math.</t>
        </is>
      </c>
    </row>
    <row r="25">
      <c r="B25" s="3" t="inlineStr">
        <is>
          <t>Footnote: #6 KBB record has null kbbFpp (delta shows as −$25,198 in raw data — artifact, ignored).</t>
        </is>
      </c>
    </row>
    <row r="26">
      <c r="B26" s="3" t="inlineStr">
        <is>
          <t>Footnote: CarMax pick #11: priorUse=[] (no fleet flag); CarMax history report available on the vehicle page.</t>
        </is>
      </c>
    </row>
    <row r="27">
      <c r="B27" s="3" t="inlineStr">
        <is>
          <t>Footnote: iSeeCars adds no VINs and no history data — useful only as a cross-listing signal. Craigslist yielded zero private-party sellers in this range.</t>
        </is>
      </c>
    </row>
    <row r="28">
      <c r="B28" s="3" t="inlineStr">
        <is>
          <t>Footnote: Data captured Aug 7, 2026.</t>
        </is>
      </c>
    </row>
  </sheetData>
  <autoFilter ref="B5:E1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FEFEF"/>
    <outlinePr summaryBelow="1" summaryRight="1"/>
    <pageSetUpPr/>
  </sheetPr>
  <dimension ref="B2:F31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26" customWidth="1" min="2" max="2"/>
    <col width="110" customWidth="1" min="3" max="3"/>
  </cols>
  <sheetData>
    <row r="2" ht="24" customHeight="1">
      <c r="B2" s="1" t="inlineStr">
        <is>
          <t>2021–2023 Mazda CX-5 — Seattle Buyer's Report</t>
        </is>
      </c>
      <c r="C2" s="2" t="n"/>
      <c r="D2" s="2" t="n"/>
      <c r="E2" s="2" t="n"/>
      <c r="F2" s="2" t="n"/>
    </row>
    <row r="3">
      <c r="B3" s="3" t="inlineStr">
        <is>
          <t>Read-only market scan. Research compiled Aug 7, 2026. Read-only scan — no dealer was contacted, no forms submitted. Not affiliated with any seller. Verify history reports and pricing independently before purchase.</t>
        </is>
      </c>
    </row>
    <row r="5">
      <c r="B5" s="18" t="inlineStr">
        <is>
          <t>Scope</t>
        </is>
      </c>
      <c r="C5" s="8" t="inlineStr">
        <is>
          <t>Within 250 mi of 98101 · under 50k mi · under $29k list · clean title / no accidents</t>
        </is>
      </c>
    </row>
    <row r="6">
      <c r="B6" s="18" t="inlineStr">
        <is>
          <t>Prices captured</t>
        </is>
      </c>
      <c r="C6" s="39" t="inlineStr">
        <is>
          <t>Aug 7, 2026 — listings change daily; verify before contacting any seller.</t>
        </is>
      </c>
    </row>
    <row r="7">
      <c r="B7" s="18" t="inlineStr">
        <is>
          <t>Funnel</t>
        </is>
      </c>
      <c r="C7" s="8" t="inlineStr">
        <is>
          <t>278 raw listings → 153 unique VINs → 112 pass filter</t>
        </is>
      </c>
    </row>
    <row r="8">
      <c r="B8" s="18" t="inlineStr">
        <is>
          <t>Interactive report</t>
        </is>
      </c>
      <c r="C8" s="40" t="inlineStr">
        <is>
          <t>https://claude.ai/code/artifact/2ac4d4f9-0b2f-404a-80cc-ea3b353ffc3d</t>
        </is>
      </c>
    </row>
    <row r="10">
      <c r="B10" s="18" t="inlineStr">
        <is>
          <t>TL;DR</t>
        </is>
      </c>
      <c r="C10" s="8" t="inlineStr">
        <is>
          <t>Contact first: #3 2021 Grand Touring Reserve at BMW Seattle ($24,999), then #1 2023 2.5 Turbo at Puyallup Mazda ($28,199), then #7 2022 Carbon Edition CPO at Lee Johnson Mazda ($26,972).</t>
        </is>
      </c>
    </row>
    <row r="11">
      <c r="B11" s="18" t="inlineStr"/>
      <c r="C11" s="8" t="inlineStr">
        <is>
          <t>Cheapest solid vs. stretch: 2021 Grand Touring at $25,192 ($556/mo) vs. 2023 2.5 Turbo at $28,199 ($621/mo) — +$3,007 list, +$65/mo buys two model years, the turbo, and 5k fewer miles.</t>
        </is>
      </c>
    </row>
    <row r="12">
      <c r="B12" s="18" t="inlineStr"/>
      <c r="C12" s="8" t="inlineStr">
        <is>
          <t>Trim value: the 2023 2.5 Turbo ($28,199 vs. $30,980) and the 2021 GT Reserve ($24,999 vs. $27,770) both sit about $2.8k under KBB Seattle fair purchase price. Avoid the 2021 Signature — it trades $1,421 over.</t>
        </is>
      </c>
    </row>
    <row r="13">
      <c r="B13" s="18" t="inlineStr"/>
      <c r="C13" s="8" t="inlineStr">
        <is>
          <t>Financing math: every $1,000 financed ≈ $19.47/mo at 6.30% APR over 60 months. No Mazda CPO promo rate applies to the CX-5 right now (3.9% is CX-90/CX-70 only).</t>
        </is>
      </c>
    </row>
    <row r="15">
      <c r="B15" s="18" t="inlineStr">
        <is>
          <t>OTD formula</t>
        </is>
      </c>
      <c r="C15" s="8" t="inlineStr">
        <is>
          <t>OTD = list × (1 + 10.35% Seattle sales tax) + $200 doc + $550 title/registration = list × 1.1035 + $750 (+ CarMax transfer fee where noted)</t>
        </is>
      </c>
    </row>
    <row r="16">
      <c r="B16" s="18" t="inlineStr">
        <is>
          <t>Payment formula</t>
        </is>
      </c>
      <c r="C16" s="8" t="inlineStr">
        <is>
          <t>M = P · r(1+r)^n / ((1+r)^n − 1), r = APR/12, n = 60. APR 6.30% = Bankrate super-prime used-auto average (7/31/26); BECU 5.99% (8/1/26); no Mazda CPO promo on CX-5.</t>
        </is>
      </c>
    </row>
    <row r="17">
      <c r="B17" s="18" t="inlineStr">
        <is>
          <t>Rule of thumb</t>
        </is>
      </c>
      <c r="C17" s="8" t="inlineStr">
        <is>
          <t>Rule of thumb: every $1,000 financed ≈ $19.47/mo at 6.30% / 60 mo.</t>
        </is>
      </c>
    </row>
    <row r="19">
      <c r="B19" s="18" t="inlineStr">
        <is>
          <t>Filter rules</t>
        </is>
      </c>
      <c r="C19" s="8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0">
      <c r="B20" s="18" t="inlineStr"/>
      <c r="C20" s="8" t="inlineStr">
        <is>
          <t>Trim: unwanted trims (Sport, Select, base 2.5 S) dropped unless priced more than $3k under the year average.</t>
        </is>
      </c>
    </row>
    <row r="21">
      <c r="B21" s="18" t="inlineStr"/>
      <c r="C21" s="8" t="inlineStr">
        <is>
          <t>Rank: deal rating / KBB FPP delta → $ below market → 1-owner → CPO → miles per dollar; at least 3 non-CarGurus sources and all 3 model years enforced on the shortlist.</t>
        </is>
      </c>
    </row>
    <row r="22">
      <c r="B22" s="18" t="inlineStr">
        <is>
          <t>Dedupe</t>
        </is>
      </c>
      <c r="C22" s="8" t="inlineStr">
        <is>
          <t>Dedupe: 278 raw → 153 unique VINs (VIN-matched) + 10 no-VIN orphans. 21 no-VIN records soft-matched to existing VINs by (year, ±1k mi, ±$250) and folded in as “also on” tags.</t>
        </is>
      </c>
    </row>
    <row r="23">
      <c r="B23" s="18" t="inlineStr">
        <is>
          <t>Recalls</t>
        </is>
      </c>
      <c r="C23" s="8" t="inlineStr">
        <is>
          <t>NHTSA recalls: 0 open campaigns for MY2021–2023 CX-5 (checked 8/7/26). Verify by VIN at nhtsa.gov/recalls before purchase.</t>
        </is>
      </c>
    </row>
    <row r="25">
      <c r="B25" s="18" t="inlineStr">
        <is>
          <t>Tabs</t>
        </is>
      </c>
      <c r="C25" s="8" t="inlineStr">
        <is>
          <t>Shortlist — the 11 picks with cost columns and links · Monthly cost — live calculator (edit blue cells) · Trim values — KBB FPP vs lowest clean listing · All listings — all 163 merged records with pass/fail and reason · No-haggle floor — CarMax/Carvana ceilings · Sources — coverage and method notes</t>
        </is>
      </c>
    </row>
    <row r="26">
      <c r="B26" s="18" t="inlineStr">
        <is>
          <t>Cell colors</t>
        </is>
      </c>
      <c r="C26" s="8" t="inlineStr">
        <is>
          <t>Blue = hardcoded value captured from a listing source or the published report; black = computed by formula; pale-yellow boxed cells are the inputs to change; gray = as-published reference values.</t>
        </is>
      </c>
    </row>
    <row r="28" ht="90" customHeight="1">
      <c r="B28" s="18" t="inlineStr">
        <is>
          <t>Email template</t>
        </is>
      </c>
      <c r="C28" s="8" t="inlineStr">
        <is>
          <t>Hi — I'm Evan, looking at your [YEAR] Mazda CX-5 [TRIM], stock #[STOCK] / VIN [VIN]. I'm comparing several CX-5s in the Seattle area this week and narrowing to two or three. Could you email me an itemized out-the-door quote in writing — vehicle price, doc fee, sales tax, title/registration, and any dealer add-ons listed separately? I'm undecided on financing vs. outside lender, so please quote the cash OTD; we can talk financing after. Thanks — happy to come see the car once I have the numbers.</t>
        </is>
      </c>
    </row>
    <row r="30">
      <c r="B30" s="18" t="inlineStr">
        <is>
          <t>Disclaimer</t>
        </is>
      </c>
      <c r="C30" s="8" t="inlineStr">
        <is>
          <t>Research compiled Aug 7, 2026. Read-only scan — no dealer was contacted, no forms submitted. Not affiliated with any seller. Verify history reports and pricing independently before purchase.</t>
        </is>
      </c>
    </row>
    <row r="31">
      <c r="B31" s="18" t="inlineStr">
        <is>
          <t>Note on links</t>
        </is>
      </c>
      <c r="C31" s="8" t="inlineStr">
        <is>
          <t>Listing URLs were captured Aug 7, 2026 and may expire as cars sell. Pick #11 links to CarMax stock 70056694 (the 2022 Carbon Edition, 48,337 mi, Sacramento South) per the captured CarMax data.</t>
        </is>
      </c>
    </row>
  </sheetData>
  <hyperlinks>
    <hyperlink xmlns:r="http://schemas.openxmlformats.org/officeDocument/2006/relationships" ref="C8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2026-08-11T03:45:17Z</dcterms:created>
  <dcterms:modified xmlns:dcterms="http://purl.org/dc/terms/" xmlns:xsi="http://www.w3.org/2001/XMLSchema-instance" xsi:type="dcterms:W3CDTF">2026-08-11T03:45:17Z</dcterms:modified>
</cp:coreProperties>
</file>