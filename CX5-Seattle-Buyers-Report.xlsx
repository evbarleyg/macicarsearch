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Quotes" sheetId="3" state="visible" r:id="rId3"/>
    <sheet xmlns:r="http://schemas.openxmlformats.org/officeDocument/2006/relationships" name="Monthly cost" sheetId="4" state="visible" r:id="rId4"/>
    <sheet xmlns:r="http://schemas.openxmlformats.org/officeDocument/2006/relationships" name="Sold-removed" sheetId="5" state="visible" r:id="rId5"/>
    <sheet xmlns:r="http://schemas.openxmlformats.org/officeDocument/2006/relationships" name="Watchlist" sheetId="6" state="visible" r:id="rId6"/>
    <sheet xmlns:r="http://schemas.openxmlformats.org/officeDocument/2006/relationships" name="Trim value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_);(#,##0);&quot;-&quot;_)"/>
    <numFmt numFmtId="165" formatCode="$#,##0_);($#,##0);&quot;-&quot;_)"/>
    <numFmt numFmtId="166" formatCode="0.00%_);(0.00%);&quot;-&quot;_)"/>
    <numFmt numFmtId="167" formatCode="$#,##0.00_);($#,##0.00);&quot;-&quot;_)"/>
  </numFmts>
  <fonts count="7">
    <font>
      <name val="Calibri"/>
      <family val="2"/>
      <color theme="1"/>
      <sz val="11"/>
      <scheme val="minor"/>
    </font>
    <font>
      <name val="Lora"/>
      <b val="1"/>
      <sz val="15"/>
    </font>
    <font>
      <name val="Lora"/>
      <sz val="10"/>
    </font>
    <font>
      <name val="Lora"/>
      <b val="1"/>
      <sz val="10"/>
    </font>
    <font>
      <name val="Lora"/>
      <b val="1"/>
      <color rgb="00FFFFFF"/>
      <sz val="10"/>
    </font>
    <font>
      <name val="Lora"/>
      <color rgb="000000FF"/>
      <sz val="10"/>
    </font>
    <font>
      <name val="Lora"/>
      <color rgb="00B7B7B7"/>
      <sz val="10"/>
    </font>
  </fonts>
  <fills count="5">
    <fill>
      <patternFill/>
    </fill>
    <fill>
      <patternFill patternType="gray125"/>
    </fill>
    <fill>
      <patternFill patternType="solid">
        <fgColor rgb="00B86046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5" fontId="2" fillId="0" borderId="0" pivotButton="0" quotePrefix="0" xfId="0"/>
    <xf numFmtId="166" fontId="5" fillId="3" borderId="2" pivotButton="0" quotePrefix="0" xfId="0"/>
    <xf numFmtId="167" fontId="2" fillId="0" borderId="0" pivotButton="0" quotePrefix="0" xfId="0"/>
    <xf numFmtId="0" fontId="5" fillId="3" borderId="2" pivotButton="0" quotePrefix="0" xfId="0"/>
    <xf numFmtId="0" fontId="6" fillId="0" borderId="0" pivotButton="0" quotePrefix="0" xfId="0"/>
    <xf numFmtId="165" fontId="5" fillId="3" borderId="2" pivotButton="0" quotePrefix="0" xfId="0"/>
    <xf numFmtId="164" fontId="2" fillId="4" borderId="0" pivotButton="0" quotePrefix="0" xfId="0"/>
    <xf numFmtId="0" fontId="2" fillId="4" borderId="0" pivotButton="0" quotePrefix="0" xfId="0"/>
    <xf numFmtId="165" fontId="5" fillId="4" borderId="0" pivotButton="0" quotePrefix="0" xfId="0"/>
    <xf numFmtId="166" fontId="5" fillId="4" borderId="0" pivotButton="0" quotePrefix="0" xfId="0"/>
    <xf numFmtId="165" fontId="2" fillId="4" borderId="0" pivotButton="0" quotePrefix="0" xfId="0"/>
    <xf numFmtId="167" fontId="5" fillId="4" borderId="0" pivotButton="0" quotePrefix="0" xfId="0"/>
    <xf numFmtId="167" fontId="2" fillId="4" borderId="0" pivotButton="0" quotePrefix="0" xfId="0"/>
    <xf numFmtId="0" fontId="3" fillId="0" borderId="3" pivotButton="0" quotePrefix="0" xfId="0"/>
    <xf numFmtId="165" fontId="3" fillId="0" borderId="3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B1:O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20" customWidth="1" min="2" max="2"/>
  </cols>
  <sheetData>
    <row r="1">
      <c r="B1" s="1" t="inlineStr">
        <is>
          <t>CX-5 Seattle Buyer's Report — workbook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3" t="inlineStr">
        <is>
          <t>Published Aug 7, 2026; refreshed Aug 12, 2026. Generated from data/board.json by tools/build_site.py — same rows as the web page.</t>
        </is>
      </c>
    </row>
    <row r="4">
      <c r="B4" s="3" t="inlineStr">
        <is>
          <t>16 cars in play (15 live + benchmark), 5 sold since publication, 5 written quotes in hand.</t>
        </is>
      </c>
    </row>
    <row r="5">
      <c r="B5" s="3" t="inlineStr">
        <is>
          <t>Tabs: Board (live cars) · Quotes (every written quote, line items, counter, gap) · Monthly cost (blue inputs, live PMT formulas) · Sold-removed · Watchlist · Trim values · Sources.</t>
        </is>
      </c>
    </row>
    <row r="6">
      <c r="B6" s="3" t="inlineStr">
        <is>
          <t>Font colours: blue = hard-coded input from a source (listing, dealer sheet, DOR rate); black = computed. Change the blue APR / term / down-payment drivers on Monthly cost and every payment recomputes.</t>
        </is>
      </c>
    </row>
    <row r="7">
      <c r="B7" s="3" t="inlineStr">
        <is>
          <t>Cheapest solid = lowest out-the-door figure (written quote where one exists, else the estimate) among live cars with a verified 1-owner / 0-accident history (or Mazda CPO) at a franchise dealer. Stretch = best-value live 2023 in the Turbo / Premium tiers, ranked by list price against KBB Seattle fair purchase price.</t>
        </is>
      </c>
    </row>
    <row r="8">
      <c r="B8" s="3" t="inlineStr">
        <is>
          <t>WA-dealer sales are taxed at the dealer's city rate (DOR Q3-2026 combined rate + 0.5% motor-vehicle tax: 9.1–11.2% around Puget Sound), so a Kirkland or Puyallup dealer runs ~0.25 pt under Seattle and Burlington nearly 2 pt under; Oregon-dealer purchases owe 11.05% WA use tax at registration. Tax is applied to the vehicle price; the doc fee and licence estimate are added untaxed, which is how the written dealer sheets received so far are built. Earlier versions of this page used a flat 10.35%, which understated OTD by roughly $200–250.</t>
        </is>
      </c>
    </row>
    <row r="9">
      <c r="B9" s="3" t="inlineStr">
        <is>
          <t>Not affiliated with any dealer or listing site. Prices and availability change daily; verify history reports and the written OTD before purchase.</t>
        </is>
      </c>
    </row>
    <row r="11">
      <c r="B11" s="4" t="inlineStr">
        <is>
          <t>What changed</t>
        </is>
      </c>
    </row>
    <row r="12">
      <c r="B12" s="3" t="inlineStr">
        <is>
          <t>Aug 12, 2026: Fresh read-only sweep (AutoTempest, CarGurus, KBB, CarMax, Carvana, Craigslist: 386 raw / 223 VINs). Every live board car re-verified with no listed-price change; #12 (Cars.com-only) could not be re-checked from the sweep environment.</t>
        </is>
      </c>
    </row>
    <row r="13">
      <c r="B13" s="3" t="inlineStr">
        <is>
          <t>Aug 12, 2026: 26 VINs not seen before: 25 disqualified (unwanted trim, out-of-area no-haggle units no better than #15, no value signal), 1 added as #21 (2021 Signature, Burlington WA, $25,999 + $200).</t>
        </is>
      </c>
    </row>
    <row r="14">
      <c r="B14" s="3" t="inlineStr">
        <is>
          <t>Aug 12, 2026: Rodland (#14) pricing sheet transcribed: $31,957.24 OTD, clean ($0 add-ons, $200 doc; tax + licence lumped).</t>
        </is>
      </c>
    </row>
    <row r="15">
      <c r="B15" s="3" t="inlineStr">
        <is>
          <t>Aug 12, 2026: Site now regenerates every section and download from one board file, so the cost table, compare box, calculator and top picks follow the live set (sold #3 dropped from the picks; quoted OTDs replace estimates where dealers have replied).</t>
        </is>
      </c>
    </row>
    <row r="16">
      <c r="B16" s="3" t="inlineStr">
        <is>
          <t>Aug 11, 2026: Buyer outreach began: itemized-OTD requests to every live dealer; written numbers back from Kirkland (#5), Titus-Will (#13, revised), Auto 206 (#17), Rodland (#14) and Royal Moore (#8, add-ons to strike).</t>
        </is>
      </c>
    </row>
    <row r="17">
      <c r="B17" s="3" t="inlineStr">
        <is>
          <t>Aug 11, 2026: Sold and removed: #2 Acura of Seattle Turbo, #3 BMW Seattle GT Reserve (dealer-confirmed), #11 CarMax Sacramento, #16 Doug’s Lynnwood GT, #18 Auto Connections Bellevue. #1’s reported sale was wrong (live on CarGurus and Puyallup Mazda’s own site at $27,999).</t>
        </is>
      </c>
    </row>
    <row r="18">
      <c r="B18" s="3" t="inlineStr">
        <is>
          <t>Aug 11, 2026: Comfort-first re-rank and WA-first re-scan added #12–#20; tax model corrected to dealer-city rates (Seattle 11.05%) from the flat 10.35% used on Aug 7.</t>
        </is>
      </c>
    </row>
    <row r="19">
      <c r="B19" s="3" t="inlineStr">
        <is>
          <t>Aug 7, 2026: Initial read-only market scan: 278 raw listings → 153 unique VINs → 112 pass the disqualifiers; 11-car shortlist ranked by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6046"/>
    <outlinePr summaryBelow="1" summaryRight="1"/>
    <pageSetUpPr/>
  </sheetPr>
  <dimension ref="B1:Y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5" customWidth="1" min="2" max="2"/>
    <col width="10" customWidth="1" min="3" max="3"/>
    <col width="6" customWidth="1" min="4" max="4"/>
    <col width="28" customWidth="1" min="5" max="5"/>
    <col width="9" customWidth="1" min="6" max="6"/>
    <col width="9" customWidth="1" min="7" max="7"/>
    <col width="10" customWidth="1" min="8" max="8"/>
    <col width="12" customWidth="1" min="9" max="9"/>
    <col width="8" customWidth="1" min="10" max="10"/>
    <col width="26" customWidth="1" min="11" max="11"/>
    <col width="14" customWidth="1" min="12" max="12"/>
    <col width="8" customWidth="1" min="13" max="13"/>
    <col width="18" customWidth="1" min="14" max="14"/>
    <col width="12" customWidth="1" min="15" max="15"/>
    <col width="12" customWidth="1" min="16" max="16"/>
    <col width="6" customWidth="1" min="17" max="17"/>
    <col width="8" customWidth="1" min="18" max="18"/>
    <col width="11" customWidth="1" min="19" max="19"/>
    <col width="46" customWidth="1" min="20" max="20"/>
    <col width="20" customWidth="1" min="21" max="21"/>
    <col width="12" customWidth="1" min="22" max="22"/>
    <col width="8" customWidth="1" min="23" max="23"/>
    <col width="70" customWidth="1" min="24" max="24"/>
    <col width="60" customWidth="1" min="25" max="25"/>
  </cols>
  <sheetData>
    <row r="1">
      <c r="B1" s="1" t="inlineStr">
        <is>
          <t>Board — cars in play as of Aug 12, 2026 (sold cars on their own tab)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#</t>
        </is>
      </c>
      <c r="C3" s="5" t="inlineStr">
        <is>
          <t>Status</t>
        </is>
      </c>
      <c r="D3" s="5" t="inlineStr">
        <is>
          <t>Year</t>
        </is>
      </c>
      <c r="E3" s="5" t="inlineStr">
        <is>
          <t>Trim</t>
        </is>
      </c>
      <c r="F3" s="5" t="inlineStr">
        <is>
          <t>Engine</t>
        </is>
      </c>
      <c r="G3" s="5" t="inlineStr">
        <is>
          <t>Miles</t>
        </is>
      </c>
      <c r="H3" s="5" t="inlineStr">
        <is>
          <t>Listed $</t>
        </is>
      </c>
      <c r="I3" s="5" t="inlineStr">
        <is>
          <t>Vehicle $ (pre-doc)</t>
        </is>
      </c>
      <c r="J3" s="5" t="inlineStr">
        <is>
          <t>Doc fee</t>
        </is>
      </c>
      <c r="K3" s="5" t="inlineStr">
        <is>
          <t>Dealer</t>
        </is>
      </c>
      <c r="L3" s="5" t="inlineStr">
        <is>
          <t>City</t>
        </is>
      </c>
      <c r="M3" s="5" t="inlineStr">
        <is>
          <t>Tax rate</t>
        </is>
      </c>
      <c r="N3" s="5" t="inlineStr">
        <is>
          <t>Deal</t>
        </is>
      </c>
      <c r="O3" s="5" t="inlineStr">
        <is>
          <t>KBB Seattle FPP</t>
        </is>
      </c>
      <c r="P3" s="5" t="inlineStr">
        <is>
          <t>History</t>
        </is>
      </c>
      <c r="Q3" s="5" t="inlineStr">
        <is>
          <t>CPO</t>
        </is>
      </c>
      <c r="R3" s="5" t="inlineStr">
        <is>
          <t>Days listed</t>
        </is>
      </c>
      <c r="S3" s="5" t="inlineStr">
        <is>
          <t>Source</t>
        </is>
      </c>
      <c r="T3" s="5" t="inlineStr">
        <is>
          <t>Listing URL</t>
        </is>
      </c>
      <c r="U3" s="5" t="inlineStr">
        <is>
          <t>VIN</t>
        </is>
      </c>
      <c r="V3" s="5" t="inlineStr">
        <is>
          <t>Stock</t>
        </is>
      </c>
      <c r="W3" s="5" t="inlineStr">
        <is>
          <t>Comfort rank</t>
        </is>
      </c>
      <c r="X3" s="5" t="inlineStr">
        <is>
          <t>Latest from dealer</t>
        </is>
      </c>
      <c r="Y3" s="5" t="inlineStr">
        <is>
          <t>Equipment</t>
        </is>
      </c>
    </row>
    <row r="4">
      <c r="B4" s="6" t="n">
        <v>1</v>
      </c>
      <c r="C4" s="7" t="inlineStr">
        <is>
          <t>live</t>
        </is>
      </c>
      <c r="D4" s="8" t="n">
        <v>2023</v>
      </c>
      <c r="E4" s="7" t="inlineStr">
        <is>
          <t>2.5 Turbo AWD</t>
        </is>
      </c>
      <c r="F4" s="7" t="inlineStr">
        <is>
          <t>2.5 Turbo</t>
        </is>
      </c>
      <c r="G4" s="6" t="n">
        <v>27990</v>
      </c>
      <c r="H4" s="9" t="n">
        <v>28199</v>
      </c>
      <c r="I4" s="9" t="n">
        <v>27999</v>
      </c>
      <c r="J4" s="9" t="n">
        <v>200</v>
      </c>
      <c r="K4" s="7" t="inlineStr">
        <is>
          <t>Puyallup Mazda</t>
        </is>
      </c>
      <c r="L4" s="7" t="inlineStr">
        <is>
          <t>Puyallup, WA</t>
        </is>
      </c>
      <c r="M4" s="10" t="n">
        <v>0.108</v>
      </c>
      <c r="N4" s="7" t="inlineStr">
        <is>
          <t>Great · $2,781 &lt; FPP</t>
        </is>
      </c>
      <c r="O4" s="9" t="n">
        <v>30980</v>
      </c>
      <c r="P4" s="7" t="inlineStr">
        <is>
          <t>1 owner · 0 accidents</t>
        </is>
      </c>
      <c r="Q4" s="7" t="inlineStr">
        <is>
          <t>No</t>
        </is>
      </c>
      <c r="R4" s="6" t="n">
        <v>89</v>
      </c>
      <c r="S4" s="7" t="inlineStr">
        <is>
          <t>CarGurus</t>
        </is>
      </c>
      <c r="T4" s="7" t="inlineStr">
        <is>
          <t>https://www.cargurus.com/Cars/listing/448185375</t>
        </is>
      </c>
      <c r="U4" s="7" t="inlineStr">
        <is>
          <t>JM3KFBAY3P0289626</t>
        </is>
      </c>
      <c r="V4" s="7" t="inlineStr">
        <is>
          <t>YW29065</t>
        </is>
      </c>
      <c r="W4" s="6" t="n">
        <v>9</v>
      </c>
      <c r="X4" s="3" t="inlineStr">
        <is>
          <t>awaiting written OTD; form lead Aug 11 plus a phone promise, nothing received.</t>
        </is>
      </c>
      <c r="Y4" s="3" t="inlineStr">
        <is>
          <t>Loaded turbo: heated leather, Bose, sunroof, 227 hp.</t>
        </is>
      </c>
    </row>
    <row r="5">
      <c r="B5" s="6" t="n">
        <v>4</v>
      </c>
      <c r="C5" s="7" t="inlineStr">
        <is>
          <t>live</t>
        </is>
      </c>
      <c r="D5" s="8" t="n">
        <v>2021</v>
      </c>
      <c r="E5" s="7" t="inlineStr">
        <is>
          <t>Carbon Edition Turbo</t>
        </is>
      </c>
      <c r="F5" s="7" t="inlineStr">
        <is>
          <t>2.5 Turbo</t>
        </is>
      </c>
      <c r="G5" s="6" t="n">
        <v>34800</v>
      </c>
      <c r="H5" s="9" t="n">
        <v>26102</v>
      </c>
      <c r="I5" s="9" t="n">
        <v>25852</v>
      </c>
      <c r="J5" s="9" t="n">
        <v>250</v>
      </c>
      <c r="K5" s="7" t="inlineStr">
        <is>
          <t>Ron Tonkin Honda</t>
        </is>
      </c>
      <c r="L5" s="7" t="inlineStr">
        <is>
          <t>Portland, OR</t>
        </is>
      </c>
      <c r="M5" s="10" t="n">
        <v>0.1105</v>
      </c>
      <c r="N5" s="7" t="inlineStr">
        <is>
          <t>Great · $2,612 &lt; FPP</t>
        </is>
      </c>
      <c r="O5" s="9" t="n">
        <v>29374</v>
      </c>
      <c r="P5" s="7" t="inlineStr">
        <is>
          <t>1 owner · 0 accidents</t>
        </is>
      </c>
      <c r="Q5" s="7" t="inlineStr">
        <is>
          <t>No</t>
        </is>
      </c>
      <c r="R5" s="6" t="n">
        <v>64</v>
      </c>
      <c r="S5" s="7" t="inlineStr">
        <is>
          <t>KBB</t>
        </is>
      </c>
      <c r="T5" s="7" t="inlineStr">
        <is>
          <t>https://www.kbb.com/cars-for-sale/vehicle/782577606</t>
        </is>
      </c>
      <c r="U5" s="7" t="inlineStr">
        <is>
          <t>JM3KFBCYXM0385696</t>
        </is>
      </c>
      <c r="V5" s="7" t="inlineStr">
        <is>
          <t>UH1679</t>
        </is>
      </c>
      <c r="W5" s="6" t="n">
        <v>4</v>
      </c>
      <c r="X5" s="3" t="inlineStr">
        <is>
          <t>quote in preparation (Aug 11, 3:57 PM); Evan's $28,500 OTD counter sent. Oregon: email-only leverage.</t>
        </is>
      </c>
      <c r="Y5" s="3" t="inlineStr">
        <is>
          <t>Carbon look, heated seats; turbo confirmed by the dealer.</t>
        </is>
      </c>
    </row>
    <row r="6">
      <c r="B6" s="6" t="n">
        <v>5</v>
      </c>
      <c r="C6" s="7" t="inlineStr">
        <is>
          <t>live</t>
        </is>
      </c>
      <c r="D6" s="8" t="n">
        <v>2021</v>
      </c>
      <c r="E6" s="7" t="inlineStr">
        <is>
          <t>Grand Touring AWD</t>
        </is>
      </c>
      <c r="F6" s="7" t="inlineStr">
        <is>
          <t>2.5</t>
        </is>
      </c>
      <c r="G6" s="6" t="n">
        <v>33336</v>
      </c>
      <c r="H6" s="9" t="n">
        <v>25192</v>
      </c>
      <c r="I6" s="9" t="n">
        <v>25192</v>
      </c>
      <c r="J6" s="9" t="n">
        <v>200</v>
      </c>
      <c r="K6" s="7" t="inlineStr">
        <is>
          <t>Hyundai of Kirkland / Ford of Kirkland</t>
        </is>
      </c>
      <c r="L6" s="7" t="inlineStr">
        <is>
          <t>Kirkland, WA</t>
        </is>
      </c>
      <c r="M6" s="10" t="n">
        <v>0.108</v>
      </c>
      <c r="N6" s="7" t="inlineStr">
        <is>
          <t>Good · $3,338 &lt; FPP</t>
        </is>
      </c>
      <c r="O6" s="9" t="n">
        <v>28530</v>
      </c>
      <c r="P6" s="7" t="inlineStr">
        <is>
          <t>1 owner · 0 accidents</t>
        </is>
      </c>
      <c r="Q6" s="7" t="inlineStr">
        <is>
          <t>No</t>
        </is>
      </c>
      <c r="R6" s="6" t="n">
        <v>48</v>
      </c>
      <c r="S6" s="7" t="inlineStr">
        <is>
          <t>CarGurus</t>
        </is>
      </c>
      <c r="T6" s="7" t="inlineStr">
        <is>
          <t>https://www.cargurus.com/Cars/listing/451807182</t>
        </is>
      </c>
      <c r="U6" s="7" t="inlineStr">
        <is>
          <t>JM3KFBDM3M0301052</t>
        </is>
      </c>
      <c r="V6" s="7" t="inlineStr">
        <is>
          <t>O94564A</t>
        </is>
      </c>
      <c r="W6" s="6" t="n">
        <v>1</v>
      </c>
      <c r="X6" s="3" t="inlineStr">
        <is>
          <t>written quote Aug 11, 4:21 PM: $24,992 selling / $28,591.14 OTD, zero add-ons; accept + deposit-hold reply staged. KBB lists the dealer as “Ford of Kirkland”; same lot.</t>
        </is>
      </c>
      <c r="Y6" s="3" t="inlineStr">
        <is>
          <t>Leather, Bose, moonroof; GT Premium pkg adds ventilated fronts, heated rears + wheel, HUD.</t>
        </is>
      </c>
    </row>
    <row r="7">
      <c r="B7" s="6" t="n">
        <v>6</v>
      </c>
      <c r="C7" s="7" t="inlineStr">
        <is>
          <t>live</t>
        </is>
      </c>
      <c r="D7" s="8" t="n">
        <v>2021</v>
      </c>
      <c r="E7" s="7" t="inlineStr">
        <is>
          <t>Carbon Ed Turbo AWD</t>
        </is>
      </c>
      <c r="F7" s="7" t="inlineStr">
        <is>
          <t>2.5 Turbo</t>
        </is>
      </c>
      <c r="G7" s="6" t="n">
        <v>42515</v>
      </c>
      <c r="H7" s="9" t="n">
        <v>25198</v>
      </c>
      <c r="I7" s="9" t="n">
        <v>24998</v>
      </c>
      <c r="J7" s="9" t="n">
        <v>200</v>
      </c>
      <c r="K7" s="7" t="inlineStr">
        <is>
          <t>Puyallup Mazda</t>
        </is>
      </c>
      <c r="L7" s="7" t="inlineStr">
        <is>
          <t>Puyallup, WA</t>
        </is>
      </c>
      <c r="M7" s="10" t="n">
        <v>0.108</v>
      </c>
      <c r="N7" s="7" t="inlineStr">
        <is>
          <t>Great · $1,939 below</t>
        </is>
      </c>
      <c r="O7" s="9" t="n"/>
      <c r="P7" s="7" t="inlineStr">
        <is>
          <t>2 owners · 0 accidents</t>
        </is>
      </c>
      <c r="Q7" s="7" t="inlineStr">
        <is>
          <t>No</t>
        </is>
      </c>
      <c r="R7" s="6" t="n">
        <v>69</v>
      </c>
      <c r="S7" s="7" t="inlineStr">
        <is>
          <t>CarGurus</t>
        </is>
      </c>
      <c r="T7" s="7" t="inlineStr">
        <is>
          <t>https://www.cargurus.com/Cars/listing/449972241</t>
        </is>
      </c>
      <c r="U7" s="7" t="inlineStr">
        <is>
          <t>JM3KFBDYXM0120596</t>
        </is>
      </c>
      <c r="V7" s="7" t="inlineStr">
        <is>
          <t>YS29241</t>
        </is>
      </c>
      <c r="W7" s="6" t="n">
        <v>11</v>
      </c>
      <c r="X7" s="3" t="inlineStr">
        <is>
          <t>awaiting written OTD; same Puyallup lead as #1 (Aug 11), phone promise only.</t>
        </is>
      </c>
      <c r="Y7" s="3" t="inlineStr">
        <is>
          <t>Carbon look: Soul Red, black 19s, heated seats, turbo.</t>
        </is>
      </c>
    </row>
    <row r="8">
      <c r="B8" s="6" t="n">
        <v>7</v>
      </c>
      <c r="C8" s="7" t="inlineStr">
        <is>
          <t>live</t>
        </is>
      </c>
      <c r="D8" s="8" t="n">
        <v>2022</v>
      </c>
      <c r="E8" s="7" t="inlineStr">
        <is>
          <t>2.5 S Carbon Edition</t>
        </is>
      </c>
      <c r="F8" s="7" t="inlineStr">
        <is>
          <t>2.5</t>
        </is>
      </c>
      <c r="G8" s="6" t="n">
        <v>34749</v>
      </c>
      <c r="H8" s="9" t="n">
        <v>27512</v>
      </c>
      <c r="I8" s="9" t="n">
        <v>27512</v>
      </c>
      <c r="J8" s="9" t="n">
        <v>200</v>
      </c>
      <c r="K8" s="7" t="inlineStr">
        <is>
          <t>Lee Johnson Mazda of Seattle</t>
        </is>
      </c>
      <c r="L8" s="7" t="inlineStr">
        <is>
          <t>Seattle, WA</t>
        </is>
      </c>
      <c r="M8" s="10" t="n">
        <v>0.1105</v>
      </c>
      <c r="N8" s="7" t="inlineStr">
        <is>
          <t>Good · $349 below</t>
        </is>
      </c>
      <c r="O8" s="9" t="n">
        <v>27440</v>
      </c>
      <c r="P8" s="7" t="inlineStr">
        <is>
          <t>1 owner · 0 accidents</t>
        </is>
      </c>
      <c r="Q8" s="7" t="inlineStr">
        <is>
          <t>Yes</t>
        </is>
      </c>
      <c r="R8" s="6" t="n">
        <v>30</v>
      </c>
      <c r="S8" s="7" t="inlineStr">
        <is>
          <t>CarGurus</t>
        </is>
      </c>
      <c r="T8" s="7" t="inlineStr">
        <is>
          <t>https://www.cargurus.com/Cars/listing/453287059</t>
        </is>
      </c>
      <c r="U8" s="7" t="inlineStr">
        <is>
          <t>JM3KFBCM4N0546820</t>
        </is>
      </c>
      <c r="V8" s="7" t="inlineStr">
        <is>
          <t>U14590</t>
        </is>
      </c>
      <c r="W8" s="6" t="n">
        <v>8</v>
      </c>
      <c r="X8" s="3" t="inlineStr">
        <is>
          <t>two-car OTD request (#7 + #12) emailed Aug 11, 3:50 PM; no reply yet.</t>
        </is>
      </c>
      <c r="Y8" s="3" t="inlineStr">
        <is>
          <t>Red leather, heated fronts, moonroof, Mazda CPO warranty.</t>
        </is>
      </c>
    </row>
    <row r="9">
      <c r="B9" s="6" t="n">
        <v>8</v>
      </c>
      <c r="C9" s="7" t="inlineStr">
        <is>
          <t>live</t>
        </is>
      </c>
      <c r="D9" s="8" t="n">
        <v>2023</v>
      </c>
      <c r="E9" s="7" t="inlineStr">
        <is>
          <t>2.5 S Preferred</t>
        </is>
      </c>
      <c r="F9" s="7" t="inlineStr">
        <is>
          <t>2.5</t>
        </is>
      </c>
      <c r="G9" s="6" t="n">
        <v>16615</v>
      </c>
      <c r="H9" s="9" t="n">
        <v>26900</v>
      </c>
      <c r="I9" s="9" t="n">
        <v>26900</v>
      </c>
      <c r="J9" s="9" t="n">
        <v>0</v>
      </c>
      <c r="K9" s="7" t="inlineStr">
        <is>
          <t>Royal Moore Mazda</t>
        </is>
      </c>
      <c r="L9" s="7" t="inlineStr">
        <is>
          <t>Hillsboro, OR</t>
        </is>
      </c>
      <c r="M9" s="10" t="n">
        <v>0.1105</v>
      </c>
      <c r="N9" s="7" t="inlineStr">
        <is>
          <t>Good · $469 below</t>
        </is>
      </c>
      <c r="O9" s="9" t="n">
        <v>27590</v>
      </c>
      <c r="P9" s="7" t="inlineStr">
        <is>
          <t>1 owner · 0 accidents</t>
        </is>
      </c>
      <c r="Q9" s="7" t="inlineStr">
        <is>
          <t>No</t>
        </is>
      </c>
      <c r="R9" s="6" t="n">
        <v>15</v>
      </c>
      <c r="S9" s="7" t="inlineStr">
        <is>
          <t>CarGurus</t>
        </is>
      </c>
      <c r="T9" s="7" t="inlineStr">
        <is>
          <t>https://www.cargurus.com/Cars/listing/454567468</t>
        </is>
      </c>
      <c r="U9" s="7" t="inlineStr">
        <is>
          <t>JM3KFBCM6P0274841</t>
        </is>
      </c>
      <c r="V9" s="7" t="inlineStr">
        <is>
          <t>661788A</t>
        </is>
      </c>
      <c r="W9" s="6" t="n">
        <v>10</v>
      </c>
      <c r="X9" s="3" t="inlineStr">
        <is>
          <t>written quote received Aug 11 (PDF, figures not yet transcribed; it lists Courtesy Guard + Forever Start add-ons); Evan countered $29,600 OTD. Oregon: email-only.</t>
        </is>
      </c>
      <c r="Y9" s="3" t="inlineStr">
        <is>
          <t>Leatherette, heated fronts, power driver seat, moonroof.</t>
        </is>
      </c>
    </row>
    <row r="10">
      <c r="B10" s="6" t="n">
        <v>9</v>
      </c>
      <c r="C10" s="7" t="inlineStr">
        <is>
          <t>live</t>
        </is>
      </c>
      <c r="D10" s="8" t="n">
        <v>2023</v>
      </c>
      <c r="E10" s="7" t="inlineStr">
        <is>
          <t>2.5 S Carbon Edition</t>
        </is>
      </c>
      <c r="F10" s="7" t="inlineStr">
        <is>
          <t>2.5</t>
        </is>
      </c>
      <c r="G10" s="6" t="n">
        <v>33006</v>
      </c>
      <c r="H10" s="9" t="n">
        <v>27699</v>
      </c>
      <c r="I10" s="9" t="n">
        <v>27499</v>
      </c>
      <c r="J10" s="9" t="n">
        <v>200</v>
      </c>
      <c r="K10" s="7" t="inlineStr">
        <is>
          <t>Puyallup Mazda</t>
        </is>
      </c>
      <c r="L10" s="7" t="inlineStr">
        <is>
          <t>Puyallup, WA</t>
        </is>
      </c>
      <c r="M10" s="10" t="n">
        <v>0.108</v>
      </c>
      <c r="N10" s="7" t="inlineStr">
        <is>
          <t>Good · $518 below</t>
        </is>
      </c>
      <c r="O10" s="9" t="n">
        <v>28090</v>
      </c>
      <c r="P10" s="7" t="inlineStr">
        <is>
          <t>1 owner · 0 accidents</t>
        </is>
      </c>
      <c r="Q10" s="7" t="inlineStr">
        <is>
          <t>Yes</t>
        </is>
      </c>
      <c r="R10" s="6" t="n">
        <v>58</v>
      </c>
      <c r="S10" s="7" t="inlineStr">
        <is>
          <t>CarGurus</t>
        </is>
      </c>
      <c r="T10" s="7" t="inlineStr">
        <is>
          <t>https://www.cargurus.com/Cars/listing/450917825</t>
        </is>
      </c>
      <c r="U10" s="7" t="inlineStr">
        <is>
          <t>JM3KFBCMXP0288130</t>
        </is>
      </c>
      <c r="V10" s="7" t="inlineStr">
        <is>
          <t>M260362A</t>
        </is>
      </c>
      <c r="W10" s="6" t="n">
        <v>7</v>
      </c>
      <c r="X10" s="3" t="inlineStr">
        <is>
          <t>folded into the Puyallup #1/#6 inquiry; no written numbers yet.</t>
        </is>
      </c>
      <c r="Y10" s="3" t="inlineStr">
        <is>
          <t>Red leather, heated fronts, Mazda CPO warranty.</t>
        </is>
      </c>
    </row>
    <row r="11">
      <c r="B11" s="6" t="n">
        <v>10</v>
      </c>
      <c r="C11" s="7" t="inlineStr">
        <is>
          <t>live</t>
        </is>
      </c>
      <c r="D11" s="8" t="n">
        <v>2023</v>
      </c>
      <c r="E11" s="7" t="inlineStr">
        <is>
          <t>2.5 S Preferred</t>
        </is>
      </c>
      <c r="F11" s="7" t="inlineStr">
        <is>
          <t>2.5</t>
        </is>
      </c>
      <c r="G11" s="6" t="n">
        <v>44989</v>
      </c>
      <c r="H11" s="9" t="n">
        <v>24095</v>
      </c>
      <c r="I11" s="9" t="n">
        <v>23995</v>
      </c>
      <c r="J11" s="9" t="n">
        <v>100</v>
      </c>
      <c r="K11" s="7" t="inlineStr">
        <is>
          <t>Columbia Sales &amp; Service</t>
        </is>
      </c>
      <c r="L11" s="7" t="inlineStr">
        <is>
          <t>Portland, OR</t>
        </is>
      </c>
      <c r="M11" s="10" t="n">
        <v>0.1105</v>
      </c>
      <c r="N11" s="7" t="inlineStr">
        <is>
          <t>Great · Cars.com rating</t>
        </is>
      </c>
      <c r="O11" s="9" t="n"/>
      <c r="P11" s="7" t="inlineStr">
        <is>
          <t>2 owners · 0 accidents</t>
        </is>
      </c>
      <c r="Q11" s="7" t="inlineStr">
        <is>
          <t>No</t>
        </is>
      </c>
      <c r="R11" s="6" t="n">
        <v>29</v>
      </c>
      <c r="S11" s="7" t="inlineStr">
        <is>
          <t>Cars.com</t>
        </is>
      </c>
      <c r="T11" s="7" t="inlineStr">
        <is>
          <t>https://www.cars.com/vehicledetail/d4fd9d01-99f9-4673-87c0-1a173ef9551f/</t>
        </is>
      </c>
      <c r="U11" s="7" t="inlineStr">
        <is>
          <t>JM3KFBCM9P0119426</t>
        </is>
      </c>
      <c r="V11" s="7" t="inlineStr">
        <is>
          <t>2468</t>
        </is>
      </c>
      <c r="W11" s="6" t="n">
        <v>12</v>
      </c>
      <c r="X11" s="3" t="inlineStr">
        <is>
          <t>emailed Aug 11, no reply. Oregon: email-only.</t>
        </is>
      </c>
      <c r="Y11" s="3" t="inlineStr">
        <is>
          <t>Leatherette, heated fronts, moonroof.</t>
        </is>
      </c>
    </row>
    <row r="12">
      <c r="B12" s="6" t="n">
        <v>12</v>
      </c>
      <c r="C12" s="7" t="inlineStr">
        <is>
          <t>live</t>
        </is>
      </c>
      <c r="D12" s="8" t="n">
        <v>2023</v>
      </c>
      <c r="E12" s="7" t="inlineStr">
        <is>
          <t>2.5 S Preferred · Mazda CPO</t>
        </is>
      </c>
      <c r="F12" s="7" t="inlineStr">
        <is>
          <t>2.5</t>
        </is>
      </c>
      <c r="G12" s="6" t="n">
        <v>36400</v>
      </c>
      <c r="H12" s="9" t="n">
        <v>26348</v>
      </c>
      <c r="I12" s="9" t="n">
        <v>26348</v>
      </c>
      <c r="J12" s="9" t="n">
        <v>200</v>
      </c>
      <c r="K12" s="7" t="inlineStr">
        <is>
          <t>Lee Johnson Mazda of Seattle</t>
        </is>
      </c>
      <c r="L12" s="7" t="inlineStr">
        <is>
          <t>Seattle, WA</t>
        </is>
      </c>
      <c r="M12" s="10" t="n">
        <v>0.1105</v>
      </c>
      <c r="N12" s="7" t="inlineStr"/>
      <c r="O12" s="9" t="n"/>
      <c r="P12" s="7" t="inlineStr">
        <is>
          <t>0 accidents</t>
        </is>
      </c>
      <c r="Q12" s="7" t="inlineStr">
        <is>
          <t>Yes</t>
        </is>
      </c>
      <c r="R12" s="6" t="n"/>
      <c r="S12" s="7" t="inlineStr">
        <is>
          <t>Cars.com</t>
        </is>
      </c>
      <c r="T12" s="7" t="inlineStr">
        <is>
          <t>https://www.cars.com/vehicledetail/d7b0a899-fdc8-4776-9379-64684c757f41/</t>
        </is>
      </c>
      <c r="U12" s="7" t="inlineStr">
        <is>
          <t>JM3KFBCM7P0256994</t>
        </is>
      </c>
      <c r="V12" s="7" t="n"/>
      <c r="W12" s="6" t="n">
        <v>2</v>
      </c>
      <c r="X12" s="3" t="inlineStr">
        <is>
          <t>in the Lee Johnson two-car OTD request emailed Aug 11, 3:50 PM; no reply yet.</t>
        </is>
      </c>
      <c r="Y12" s="3" t="inlineStr">
        <is>
          <t>Leather-trimmed Preferred content (heated fronts, moonroof) with the Mazda CPO warranty.</t>
        </is>
      </c>
    </row>
    <row r="13">
      <c r="B13" s="6" t="n">
        <v>13</v>
      </c>
      <c r="C13" s="7" t="inlineStr">
        <is>
          <t>live</t>
        </is>
      </c>
      <c r="D13" s="8" t="n">
        <v>2022</v>
      </c>
      <c r="E13" s="7" t="inlineStr">
        <is>
          <t>2.5 S Premium Plus</t>
        </is>
      </c>
      <c r="F13" s="7" t="inlineStr">
        <is>
          <t>2.5</t>
        </is>
      </c>
      <c r="G13" s="6" t="n">
        <v>43640</v>
      </c>
      <c r="H13" s="9" t="n">
        <v>27389</v>
      </c>
      <c r="I13" s="9" t="n">
        <v>27389</v>
      </c>
      <c r="J13" s="9" t="n">
        <v>200</v>
      </c>
      <c r="K13" s="7" t="inlineStr">
        <is>
          <t>Titus-Will Chevrolet GMC Cadillac</t>
        </is>
      </c>
      <c r="L13" s="7" t="inlineStr">
        <is>
          <t>Olympia, WA</t>
        </is>
      </c>
      <c r="M13" s="10" t="n">
        <v>0.102</v>
      </c>
      <c r="N13" s="7" t="inlineStr">
        <is>
          <t>Good · $389 over FPP</t>
        </is>
      </c>
      <c r="O13" s="9" t="n">
        <v>27000</v>
      </c>
      <c r="P13" s="7" t="inlineStr">
        <is>
          <t>1 owner · 0 accidents</t>
        </is>
      </c>
      <c r="Q13" s="7" t="inlineStr">
        <is>
          <t>No</t>
        </is>
      </c>
      <c r="R13" s="6" t="n">
        <v>45</v>
      </c>
      <c r="S13" s="7" t="inlineStr">
        <is>
          <t>KBB</t>
        </is>
      </c>
      <c r="T13" s="7" t="inlineStr">
        <is>
          <t>https://www.kbb.com/cars-for-sale/vehicle/784195725</t>
        </is>
      </c>
      <c r="U13" s="7" t="inlineStr">
        <is>
          <t>JM3KFBEM1N0590576</t>
        </is>
      </c>
      <c r="V13" s="7" t="inlineStr">
        <is>
          <t>P11101</t>
        </is>
      </c>
      <c r="W13" s="6" t="n">
        <v>3</v>
      </c>
      <c r="X13" s="3" t="inlineStr">
        <is>
          <t>revised written quote Aug 11, 4:43 PM: $31,000 OTD with the $995 KARR add-on struck (first sheet was $32,229.17); Evan holding at $30,200 OTD.</t>
        </is>
      </c>
      <c r="Y13" s="3" t="inlineStr">
        <is>
          <t>Ventilated seats, HUD, heated rears; CarBravo (GM) certified, not Mazda CPO.</t>
        </is>
      </c>
    </row>
    <row r="14">
      <c r="B14" s="6" t="n">
        <v>14</v>
      </c>
      <c r="C14" s="7" t="inlineStr">
        <is>
          <t>live</t>
        </is>
      </c>
      <c r="D14" s="8" t="n">
        <v>2023</v>
      </c>
      <c r="E14" s="7" t="inlineStr">
        <is>
          <t>2.5 S Premium</t>
        </is>
      </c>
      <c r="F14" s="7" t="inlineStr">
        <is>
          <t>2.5</t>
        </is>
      </c>
      <c r="G14" s="6" t="n">
        <v>17505</v>
      </c>
      <c r="H14" s="9" t="n">
        <v>28487</v>
      </c>
      <c r="I14" s="9" t="n">
        <v>28287</v>
      </c>
      <c r="J14" s="9" t="n">
        <v>200</v>
      </c>
      <c r="K14" s="7" t="inlineStr">
        <is>
          <t>Rodland Toyota of Everett</t>
        </is>
      </c>
      <c r="L14" s="7" t="inlineStr">
        <is>
          <t>Everett, WA</t>
        </is>
      </c>
      <c r="M14" s="10" t="n">
        <v>0.104</v>
      </c>
      <c r="N14" s="7" t="inlineStr">
        <is>
          <t>Good · $873 below</t>
        </is>
      </c>
      <c r="O14" s="9" t="n">
        <v>27750</v>
      </c>
      <c r="P14" s="7" t="inlineStr">
        <is>
          <t>1 owner · 0 accidents</t>
        </is>
      </c>
      <c r="Q14" s="7" t="inlineStr">
        <is>
          <t>No</t>
        </is>
      </c>
      <c r="R14" s="6" t="n">
        <v>29</v>
      </c>
      <c r="S14" s="7" t="inlineStr">
        <is>
          <t>CarGurus</t>
        </is>
      </c>
      <c r="T14" s="7" t="inlineStr">
        <is>
          <t>https://www.cargurus.com/Cars/listing/453332129</t>
        </is>
      </c>
      <c r="U14" s="7" t="inlineStr">
        <is>
          <t>JM3KFBDM7P0281828</t>
        </is>
      </c>
      <c r="V14" s="7" t="inlineStr">
        <is>
          <t>68987A</t>
        </is>
      </c>
      <c r="W14" s="6" t="n">
        <v>5</v>
      </c>
      <c r="X14" s="3" t="inlineStr">
        <is>
          <t>written quote Aug 11: $31,957.24 OTD (clean sheet: $28,287 + $200 doc, $0 add-ons, tax + licence lumped at $3,470.24, not itemized); Evan countered $31,100 OTD; next ask is the itemized tax/licence.</t>
        </is>
      </c>
      <c r="Y14" s="3" t="inlineStr">
        <is>
          <t>Lowest-mile comfort car in the set: Soul Red, leather, Bose, heated wheel (no ventilation).</t>
        </is>
      </c>
    </row>
    <row r="15">
      <c r="B15" s="6" t="n">
        <v>15</v>
      </c>
      <c r="C15" s="7" t="inlineStr">
        <is>
          <t>benchmark</t>
        </is>
      </c>
      <c r="D15" s="8" t="n">
        <v>2023</v>
      </c>
      <c r="E15" s="7" t="inlineStr">
        <is>
          <t>2.5 S Premium · no-haggle</t>
        </is>
      </c>
      <c r="F15" s="7" t="inlineStr">
        <is>
          <t>2.5</t>
        </is>
      </c>
      <c r="G15" s="6" t="n">
        <v>31166</v>
      </c>
      <c r="H15" s="9" t="n">
        <v>27998</v>
      </c>
      <c r="I15" s="9" t="n">
        <v>27998</v>
      </c>
      <c r="J15" s="9" t="n">
        <v>200</v>
      </c>
      <c r="K15" s="7" t="inlineStr">
        <is>
          <t>CarMax Renton</t>
        </is>
      </c>
      <c r="L15" s="7" t="inlineStr">
        <is>
          <t>Renton, WA</t>
        </is>
      </c>
      <c r="M15" s="10" t="n">
        <v>0.11</v>
      </c>
      <c r="N15" s="7" t="inlineStr">
        <is>
          <t>Fair · $222 below</t>
        </is>
      </c>
      <c r="O15" s="9" t="n"/>
      <c r="P15" s="7" t="inlineStr">
        <is>
          <t>1 owner · 0 accidents</t>
        </is>
      </c>
      <c r="Q15" s="7" t="inlineStr">
        <is>
          <t>No</t>
        </is>
      </c>
      <c r="R15" s="6" t="n">
        <v>3</v>
      </c>
      <c r="S15" s="7" t="inlineStr">
        <is>
          <t>CarMax</t>
        </is>
      </c>
      <c r="T15" s="7" t="inlineStr">
        <is>
          <t>https://www.cargurus.com/Cars/listing/455754266</t>
        </is>
      </c>
      <c r="U15" s="7" t="inlineStr">
        <is>
          <t>JM3KFBDM0P0215315</t>
        </is>
      </c>
      <c r="V15" s="7" t="inlineStr">
        <is>
          <t>70134808</t>
        </is>
      </c>
      <c r="W15" s="6" t="n">
        <v>6</v>
      </c>
      <c r="X15" s="3" t="inlineStr">
        <is>
          <t>reference car; nothing to request.</t>
        </is>
      </c>
      <c r="Y15" s="3" t="inlineStr">
        <is>
          <t>In-state no-haggle benchmark, no transfer fee.</t>
        </is>
      </c>
    </row>
    <row r="16">
      <c r="B16" s="6" t="n">
        <v>17</v>
      </c>
      <c r="C16" s="7" t="inlineStr">
        <is>
          <t>live</t>
        </is>
      </c>
      <c r="D16" s="8" t="n">
        <v>2021</v>
      </c>
      <c r="E16" s="7" t="inlineStr">
        <is>
          <t>Grand Touring w/ GT Premium pkg</t>
        </is>
      </c>
      <c r="F16" s="7" t="inlineStr">
        <is>
          <t>2.5</t>
        </is>
      </c>
      <c r="G16" s="6" t="n">
        <v>30066</v>
      </c>
      <c r="H16" s="9" t="n">
        <v>25799</v>
      </c>
      <c r="I16" s="9" t="n">
        <v>25799</v>
      </c>
      <c r="J16" s="9" t="n">
        <v>0</v>
      </c>
      <c r="K16" s="7" t="inlineStr">
        <is>
          <t>Auto 206 (independent)</t>
        </is>
      </c>
      <c r="L16" s="7" t="inlineStr">
        <is>
          <t>Kent, WA</t>
        </is>
      </c>
      <c r="M16" s="10" t="n">
        <v>0.109</v>
      </c>
      <c r="N16" s="7" t="inlineStr">
        <is>
          <t>$3,281 &lt; FPP</t>
        </is>
      </c>
      <c r="O16" s="9" t="n">
        <v>29080</v>
      </c>
      <c r="P16" s="7" t="inlineStr">
        <is>
          <t>1 owner · 1 accident</t>
        </is>
      </c>
      <c r="Q16" s="7" t="inlineStr">
        <is>
          <t>No</t>
        </is>
      </c>
      <c r="R16" s="6" t="n">
        <v>5</v>
      </c>
      <c r="S16" s="7" t="inlineStr">
        <is>
          <t>Autotrader</t>
        </is>
      </c>
      <c r="T16" s="7" t="inlineStr">
        <is>
          <t>https://www.autotrader.com/cars-for-sale/vehicle/787629893</t>
        </is>
      </c>
      <c r="U16" s="7" t="inlineStr">
        <is>
          <t>JM3KFBDM0M0305902</t>
        </is>
      </c>
      <c r="V16" s="7" t="inlineStr">
        <is>
          <t>13014</t>
        </is>
      </c>
      <c r="W16" s="6" t="n"/>
      <c r="X16" s="3" t="inlineStr">
        <is>
          <t>written $28,718.60 OTD ($25,400 selling, $0 doc, no add-ons) valid to Aug 12, 7 PM; Evan's $27,000 + inspection counter was declined.</t>
        </is>
      </c>
      <c r="Y16" s="3" t="inlineStr">
        <is>
          <t>Ventilated seats at GT money (GT Premium package), Deep Crystal Blue.</t>
        </is>
      </c>
    </row>
    <row r="17">
      <c r="B17" s="6" t="n">
        <v>19</v>
      </c>
      <c r="C17" s="7" t="inlineStr">
        <is>
          <t>live</t>
        </is>
      </c>
      <c r="D17" s="8" t="n">
        <v>2021</v>
      </c>
      <c r="E17" s="7" t="inlineStr">
        <is>
          <t>Signature (2.5T, ventilated)</t>
        </is>
      </c>
      <c r="F17" s="7" t="inlineStr">
        <is>
          <t>2.5 Turbo</t>
        </is>
      </c>
      <c r="G17" s="6" t="n">
        <v>40451</v>
      </c>
      <c r="H17" s="9" t="n">
        <v>26712</v>
      </c>
      <c r="I17" s="9" t="n">
        <v>26712</v>
      </c>
      <c r="J17" s="9" t="n">
        <v>250</v>
      </c>
      <c r="K17" s="7" t="inlineStr">
        <is>
          <t>Tonkin Gresham Honda</t>
        </is>
      </c>
      <c r="L17" s="7" t="inlineStr">
        <is>
          <t>Troutdale, OR</t>
        </is>
      </c>
      <c r="M17" s="10" t="n">
        <v>0.1105</v>
      </c>
      <c r="N17" s="7" t="inlineStr">
        <is>
          <t>Good · $700 below</t>
        </is>
      </c>
      <c r="O17" s="9" t="n">
        <v>24480</v>
      </c>
      <c r="P17" s="7" t="inlineStr">
        <is>
          <t>2 owners · 0 accidents</t>
        </is>
      </c>
      <c r="Q17" s="7" t="inlineStr">
        <is>
          <t>No</t>
        </is>
      </c>
      <c r="R17" s="6" t="n">
        <v>18</v>
      </c>
      <c r="S17" s="7" t="inlineStr">
        <is>
          <t>Cars.com</t>
        </is>
      </c>
      <c r="T17" s="7" t="inlineStr">
        <is>
          <t>https://www.cars.com/vehicledetail/671f18d1-7917-4929-b9c7-3f175ba4013f/</t>
        </is>
      </c>
      <c r="U17" s="7" t="inlineStr">
        <is>
          <t>JM3KFBEY2M0349546</t>
        </is>
      </c>
      <c r="V17" s="7" t="inlineStr">
        <is>
          <t>G6186020B</t>
        </is>
      </c>
      <c r="W17" s="6" t="n"/>
      <c r="X17" s="3" t="inlineStr">
        <is>
          <t>not contacted; Oregon fallback, email-only.</t>
        </is>
      </c>
      <c r="Y17" s="3" t="inlineStr">
        <is>
          <t>Top 2021 trim (Nappa, vents, 360 camera).</t>
        </is>
      </c>
    </row>
    <row r="18">
      <c r="B18" s="6" t="n">
        <v>20</v>
      </c>
      <c r="C18" s="7" t="inlineStr">
        <is>
          <t>live</t>
        </is>
      </c>
      <c r="D18" s="8" t="n">
        <v>2023</v>
      </c>
      <c r="E18" s="7" t="inlineStr">
        <is>
          <t>2.5 S Preferred</t>
        </is>
      </c>
      <c r="F18" s="7" t="inlineStr">
        <is>
          <t>2.5</t>
        </is>
      </c>
      <c r="G18" s="6" t="n">
        <v>16969</v>
      </c>
      <c r="H18" s="9" t="n">
        <v>26500</v>
      </c>
      <c r="I18" s="9" t="n">
        <v>26500</v>
      </c>
      <c r="J18" s="9" t="n">
        <v>250</v>
      </c>
      <c r="K18" s="7" t="inlineStr">
        <is>
          <t>Royal Moore Mazda</t>
        </is>
      </c>
      <c r="L18" s="7" t="inlineStr">
        <is>
          <t>Hillsboro, OR</t>
        </is>
      </c>
      <c r="M18" s="10" t="n">
        <v>0.1105</v>
      </c>
      <c r="N18" s="7" t="inlineStr"/>
      <c r="O18" s="9" t="n"/>
      <c r="P18" s="7" t="inlineStr">
        <is>
          <t>0 accidents</t>
        </is>
      </c>
      <c r="Q18" s="7" t="inlineStr">
        <is>
          <t>No</t>
        </is>
      </c>
      <c r="R18" s="6" t="n">
        <v>18</v>
      </c>
      <c r="S18" s="7" t="inlineStr">
        <is>
          <t>Cars.com</t>
        </is>
      </c>
      <c r="T18" s="7" t="inlineStr">
        <is>
          <t>https://www.cars.com/vehicledetail/84b6552a-4a94-4c5b-96bf-0b3b37cc55a9/</t>
        </is>
      </c>
      <c r="U18" s="7" t="n"/>
      <c r="V18" s="7" t="n"/>
      <c r="W18" s="6" t="n"/>
      <c r="X18" s="3" t="inlineStr">
        <is>
          <t>folded into the #8 thread with a $29,400 OTD counter (Aug 11); no separate quote yet. Oregon: email-only.</t>
        </is>
      </c>
      <c r="Y18" s="3" t="inlineStr">
        <is>
          <t>The Royal Moore group's second low-mile Preferred (Toyota store, same auto center as #8).</t>
        </is>
      </c>
    </row>
    <row r="19">
      <c r="B19" s="6" t="n">
        <v>21</v>
      </c>
      <c r="C19" s="7" t="inlineStr">
        <is>
          <t>live</t>
        </is>
      </c>
      <c r="D19" s="8" t="n">
        <v>2021</v>
      </c>
      <c r="E19" s="7" t="inlineStr">
        <is>
          <t>Signature (2.5T)</t>
        </is>
      </c>
      <c r="F19" s="7" t="inlineStr">
        <is>
          <t>2.5 Turbo</t>
        </is>
      </c>
      <c r="G19" s="6" t="n">
        <v>35589</v>
      </c>
      <c r="H19" s="9" t="n">
        <v>25999</v>
      </c>
      <c r="I19" s="9" t="n">
        <v>25999</v>
      </c>
      <c r="J19" s="9" t="n">
        <v>200</v>
      </c>
      <c r="K19" s="7" t="inlineStr">
        <is>
          <t>Cortes Auto Center (independent)</t>
        </is>
      </c>
      <c r="L19" s="7" t="inlineStr">
        <is>
          <t>Burlington, WA</t>
        </is>
      </c>
      <c r="M19" s="10" t="n">
        <v>0.091</v>
      </c>
      <c r="N19" s="7" t="inlineStr">
        <is>
          <t>Good · $789 over FPP</t>
        </is>
      </c>
      <c r="O19" s="9" t="n">
        <v>25410</v>
      </c>
      <c r="P19" s="7" t="inlineStr">
        <is>
          <t>1 owner · 0 accidents</t>
        </is>
      </c>
      <c r="Q19" s="7" t="inlineStr">
        <is>
          <t>No</t>
        </is>
      </c>
      <c r="R19" s="6" t="n">
        <v>0</v>
      </c>
      <c r="S19" s="7" t="inlineStr">
        <is>
          <t>KBB</t>
        </is>
      </c>
      <c r="T19" s="7" t="inlineStr">
        <is>
          <t>https://www.kbb.com/cars-for-sale/vehicle/787933636</t>
        </is>
      </c>
      <c r="U19" s="7" t="inlineStr">
        <is>
          <t>JM3KFBEY0M0417715</t>
        </is>
      </c>
      <c r="V19" s="7" t="inlineStr">
        <is>
          <t>B1851</t>
        </is>
      </c>
      <c r="W19" s="6" t="n"/>
      <c r="X19" s="3" t="inlineStr">
        <is>
          <t>not contacted (found Aug 12).</t>
        </is>
      </c>
      <c r="Y19" s="3" t="inlineStr">
        <is>
          <t>WA car, top 2021 trim (Nappa leather, ventilated fronts, 360 camera, turbo), Snowflake White / Caturra Brown.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6046"/>
    <outlinePr summaryBelow="1" summaryRight="1"/>
    <pageSetUpPr/>
  </sheetPr>
  <dimension ref="B1:T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5" customWidth="1" min="2" max="2"/>
    <col width="30" customWidth="1" min="3" max="3"/>
    <col width="26" customWidth="1" min="4" max="4"/>
    <col width="10" customWidth="1" min="5" max="5"/>
    <col width="44" customWidth="1" min="6" max="6"/>
    <col width="11" customWidth="1" min="7" max="7"/>
    <col width="8" customWidth="1" min="8" max="8"/>
    <col width="10" customWidth="1" min="9" max="9"/>
    <col width="8" customWidth="1" min="10" max="10"/>
    <col width="12" customWidth="1" min="11" max="11"/>
    <col width="14" customWidth="1" min="12" max="12"/>
    <col width="30" customWidth="1" min="13" max="13"/>
    <col width="13" customWidth="1" min="14" max="14"/>
    <col width="13" customWidth="1" min="15" max="15"/>
    <col width="13" customWidth="1" min="16" max="16"/>
    <col width="12" customWidth="1" min="17" max="17"/>
    <col width="14" customWidth="1" min="18" max="18"/>
    <col width="10" customWidth="1" min="19" max="19"/>
    <col width="70" customWidth="1" min="20" max="20"/>
  </cols>
  <sheetData>
    <row r="1">
      <c r="B1" s="1" t="inlineStr">
        <is>
          <t>Written quotes — line items as received, counter sent, gap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#</t>
        </is>
      </c>
      <c r="C3" s="5" t="inlineStr">
        <is>
          <t>Car</t>
        </is>
      </c>
      <c r="D3" s="5" t="inlineStr">
        <is>
          <t>Dealer</t>
        </is>
      </c>
      <c r="E3" s="5" t="inlineStr">
        <is>
          <t>Date</t>
        </is>
      </c>
      <c r="F3" s="5" t="inlineStr">
        <is>
          <t>Document</t>
        </is>
      </c>
      <c r="G3" s="5" t="inlineStr">
        <is>
          <t>Selling $</t>
        </is>
      </c>
      <c r="H3" s="5" t="inlineStr">
        <is>
          <t>Doc $</t>
        </is>
      </c>
      <c r="I3" s="5" t="inlineStr">
        <is>
          <t>Tax $</t>
        </is>
      </c>
      <c r="J3" s="5" t="inlineStr">
        <is>
          <t>Tax rate</t>
        </is>
      </c>
      <c r="K3" s="5" t="inlineStr">
        <is>
          <t>License / gov $</t>
        </is>
      </c>
      <c r="L3" s="5" t="inlineStr">
        <is>
          <t>Taxes+fees lumped $</t>
        </is>
      </c>
      <c r="M3" s="5" t="inlineStr">
        <is>
          <t>Add-ons</t>
        </is>
      </c>
      <c r="N3" s="5" t="inlineStr">
        <is>
          <t>OTD (written)</t>
        </is>
      </c>
      <c r="O3" s="5" t="inlineStr">
        <is>
          <t>First sheet OTD</t>
        </is>
      </c>
      <c r="P3" s="5" t="inlineStr">
        <is>
          <t>Est. OTD at list</t>
        </is>
      </c>
      <c r="Q3" s="5" t="inlineStr">
        <is>
          <t>Counter OTD</t>
        </is>
      </c>
      <c r="R3" s="5" t="inlineStr">
        <is>
          <t>Gap (written − counter)</t>
        </is>
      </c>
      <c r="S3" s="5" t="inlineStr">
        <is>
          <t>Clean sheet?</t>
        </is>
      </c>
      <c r="T3" s="5" t="inlineStr">
        <is>
          <t>Notes</t>
        </is>
      </c>
    </row>
    <row r="4">
      <c r="B4" s="6" t="n">
        <v>5</v>
      </c>
      <c r="C4" s="7" t="inlineStr">
        <is>
          <t>2021 Grand Touring AWD</t>
        </is>
      </c>
      <c r="D4" s="7" t="inlineStr">
        <is>
          <t>Hyundai of Kirkland / Ford of Kirkland</t>
        </is>
      </c>
      <c r="E4" s="7" t="inlineStr">
        <is>
          <t>Aug 11 4:21 PM PT</t>
        </is>
      </c>
      <c r="F4" s="3" t="inlineStr">
        <is>
          <t>itemized written proposal (email)</t>
        </is>
      </c>
      <c r="G4" s="11" t="n">
        <v>24992</v>
      </c>
      <c r="H4" s="9" t="n">
        <v>200</v>
      </c>
      <c r="I4" s="11" t="n">
        <v>2699.14</v>
      </c>
      <c r="J4" s="10" t="n">
        <v>0.108</v>
      </c>
      <c r="K4" s="9" t="n">
        <v>700</v>
      </c>
      <c r="L4" s="11" t="n"/>
      <c r="M4" s="3" t="inlineStr">
        <is>
          <t>none</t>
        </is>
      </c>
      <c r="N4" s="11" t="n">
        <v>28591.14</v>
      </c>
      <c r="O4" s="11" t="n"/>
      <c r="P4" s="12" t="n">
        <v>28712.736</v>
      </c>
      <c r="Q4" s="9" t="n">
        <v>27700</v>
      </c>
      <c r="R4" s="12">
        <f>N4-Q4</f>
        <v/>
      </c>
      <c r="S4" s="7" t="inlineStr">
        <is>
          <t>yes</t>
        </is>
      </c>
      <c r="T4" s="3" t="inlineStr">
        <is>
          <t>selling $200 under list; zero add-ons · counter: front-runner bump via site form; superseded by the priority rule: accept any clean sheet at or under list</t>
        </is>
      </c>
    </row>
    <row r="5">
      <c r="B5" s="6" t="n">
        <v>8</v>
      </c>
      <c r="C5" s="7" t="inlineStr">
        <is>
          <t>2023 2.5 S Preferred</t>
        </is>
      </c>
      <c r="D5" s="7" t="inlineStr">
        <is>
          <t>Royal Moore Mazda</t>
        </is>
      </c>
      <c r="E5" s="7" t="inlineStr">
        <is>
          <t>Aug 11 3:06 PM PT</t>
        </is>
      </c>
      <c r="F5" s="3" t="inlineStr">
        <is>
          <t>pricing breakdown PDF (figures not yet transcribed)</t>
        </is>
      </c>
      <c r="G5" s="11" t="n"/>
      <c r="H5" s="9" t="n"/>
      <c r="I5" s="11" t="n"/>
      <c r="J5" s="10" t="n"/>
      <c r="K5" s="9" t="n"/>
      <c r="L5" s="11" t="n"/>
      <c r="M5" s="3" t="inlineStr">
        <is>
          <t>Courtesy Guard, Forever Start</t>
        </is>
      </c>
      <c r="N5" s="11" t="n"/>
      <c r="O5" s="11" t="n"/>
      <c r="P5" s="12" t="n">
        <v>30472.45</v>
      </c>
      <c r="Q5" s="9" t="n">
        <v>29600</v>
      </c>
      <c r="R5" s="12" t="n"/>
      <c r="S5" s="7" t="inlineStr">
        <is>
          <t>no</t>
        </is>
      </c>
      <c r="T5" s="3" t="inlineStr">
        <is>
          <t>carries two dealer add-ons to strike · counter: two-car counter with #20 ($29,400)</t>
        </is>
      </c>
    </row>
    <row r="6">
      <c r="B6" s="6" t="n">
        <v>13</v>
      </c>
      <c r="C6" s="7" t="inlineStr">
        <is>
          <t>2022 2.5 S Premium Plus</t>
        </is>
      </c>
      <c r="D6" s="7" t="inlineStr">
        <is>
          <t>Titus-Will Chevrolet GMC Cadillac</t>
        </is>
      </c>
      <c r="E6" s="7" t="inlineStr">
        <is>
          <t>Aug 11 4:43 PM PT</t>
        </is>
      </c>
      <c r="F6" s="3" t="inlineStr">
        <is>
          <t>revised written proposal (PDF)</t>
        </is>
      </c>
      <c r="G6" s="11" t="n">
        <v>27268.6</v>
      </c>
      <c r="H6" s="9" t="n">
        <v>200</v>
      </c>
      <c r="I6" s="11" t="n"/>
      <c r="J6" s="10" t="n"/>
      <c r="K6" s="9" t="n">
        <v>750</v>
      </c>
      <c r="L6" s="11" t="n"/>
      <c r="M6" s="3" t="inlineStr">
        <is>
          <t>none</t>
        </is>
      </c>
      <c r="N6" s="11" t="n">
        <v>31000</v>
      </c>
      <c r="O6" s="11" t="n">
        <v>32229.17</v>
      </c>
      <c r="P6" s="12" t="n">
        <v>30982.678</v>
      </c>
      <c r="Q6" s="9" t="n">
        <v>30200</v>
      </c>
      <c r="R6" s="12">
        <f>N6-Q6</f>
        <v/>
      </c>
      <c r="S6" s="7" t="inlineStr">
        <is>
          <t>yes</t>
        </is>
      </c>
      <c r="T6" s="3" t="inlineStr">
        <is>
          <t>$995 KARR add-on struck on the revision; $750 government fees to be trued up at actuals · counter: KARR + gov-fee strikes; holding</t>
        </is>
      </c>
    </row>
    <row r="7">
      <c r="B7" s="6" t="n">
        <v>14</v>
      </c>
      <c r="C7" s="7" t="inlineStr">
        <is>
          <t>2023 2.5 S Premium</t>
        </is>
      </c>
      <c r="D7" s="7" t="inlineStr">
        <is>
          <t>Rodland Toyota of Everett</t>
        </is>
      </c>
      <c r="E7" s="7" t="inlineStr">
        <is>
          <t>Aug 11 3:24 PM PT</t>
        </is>
      </c>
      <c r="F7" s="3" t="inlineStr">
        <is>
          <t>'Estimated Pricing Summary' payment-estimator printout (PDF, 3 pages; not a signed buyer's order)</t>
        </is>
      </c>
      <c r="G7" s="11" t="n">
        <v>28487</v>
      </c>
      <c r="H7" s="9" t="n">
        <v>200</v>
      </c>
      <c r="I7" s="11" t="n"/>
      <c r="J7" s="10" t="n"/>
      <c r="K7" s="9" t="n"/>
      <c r="L7" s="11" t="n">
        <v>3470.24</v>
      </c>
      <c r="M7" s="3" t="inlineStr">
        <is>
          <t>none</t>
        </is>
      </c>
      <c r="N7" s="11" t="n">
        <v>31957.24</v>
      </c>
      <c r="O7" s="11" t="n"/>
      <c r="P7" s="12" t="n">
        <v>32028.848</v>
      </c>
      <c r="Q7" s="9" t="n">
        <v>31100</v>
      </c>
      <c r="R7" s="12">
        <f>N7-Q7</f>
        <v/>
      </c>
      <c r="S7" s="7" t="inlineStr">
        <is>
          <t>yes</t>
        </is>
      </c>
      <c r="T7" s="3" t="inlineStr">
        <is>
          <t>tax + licence lumped, consistent with Everett 10.40% plus ~$508 of title/licence; ask for the itemized rate and licence · counter: $27,300 selling; gap $857</t>
        </is>
      </c>
    </row>
    <row r="8">
      <c r="B8" s="6" t="n">
        <v>17</v>
      </c>
      <c r="C8" s="7" t="inlineStr">
        <is>
          <t>2021 Grand Touring w/ GT Premium pkg</t>
        </is>
      </c>
      <c r="D8" s="7" t="inlineStr">
        <is>
          <t>Auto 206 (independent)</t>
        </is>
      </c>
      <c r="E8" s="7" t="inlineStr">
        <is>
          <t>Aug 11 1:57 PM PT</t>
        </is>
      </c>
      <c r="F8" s="3" t="inlineStr">
        <is>
          <t>itemized written offer (email + PDF)</t>
        </is>
      </c>
      <c r="G8" s="11" t="n">
        <v>25400</v>
      </c>
      <c r="H8" s="9" t="n">
        <v>0</v>
      </c>
      <c r="I8" s="11" t="n">
        <v>2768.6</v>
      </c>
      <c r="J8" s="10" t="n">
        <v>0.109</v>
      </c>
      <c r="K8" s="9" t="n">
        <v>550</v>
      </c>
      <c r="L8" s="11" t="n"/>
      <c r="M8" s="3" t="inlineStr">
        <is>
          <t>none</t>
        </is>
      </c>
      <c r="N8" s="11" t="n">
        <v>28718.6</v>
      </c>
      <c r="O8" s="11" t="n"/>
      <c r="P8" s="12" t="n">
        <v>29211.091</v>
      </c>
      <c r="Q8" s="9" t="n">
        <v>27000</v>
      </c>
      <c r="R8" s="12">
        <f>N8-Q8</f>
        <v/>
      </c>
      <c r="S8" s="7" t="inlineStr">
        <is>
          <t>yes</t>
        </is>
      </c>
      <c r="T8" s="3" t="inlineStr">
        <is>
          <t>cleanest fee sheet seen: no doc fee, no add-ons; disqualified by the Carfax accident unless the rule is waived · counter: contingent on a clean independent PPI; declined by the dealer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6046"/>
    <outlinePr summaryBelow="1" summaryRight="1"/>
    <pageSetUpPr/>
  </sheetPr>
  <dimension ref="B1:O31"/>
  <sheetViews>
    <sheetView showGridLines="0" workbookViewId="0">
      <pane xSplit="1" ySplit="8" topLeftCell="B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5" customWidth="1" min="2" max="2"/>
    <col width="30" customWidth="1" min="3" max="3"/>
    <col width="24" customWidth="1" min="4" max="4"/>
    <col width="8" customWidth="1" min="5" max="5"/>
    <col width="12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B1" s="1" t="inlineStr">
        <is>
          <t>Monthly cost — live cars, sorted by out-the-door (quoted where a dealer has replied)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4" t="inlineStr">
        <is>
          <t>APR</t>
        </is>
      </c>
      <c r="C3" s="13" t="n">
        <v>0.063</v>
      </c>
      <c r="E3" s="4" t="inlineStr">
        <is>
          <t>Per $1,000 financed</t>
        </is>
      </c>
      <c r="F3" s="14">
        <f>-PMT($C$3/12,$C$4,1000)</f>
        <v/>
      </c>
    </row>
    <row r="4">
      <c r="B4" s="4" t="inlineStr">
        <is>
          <t>Term (months)</t>
        </is>
      </c>
      <c r="C4" s="15" t="n">
        <v>60</v>
      </c>
      <c r="E4" s="16" t="inlineStr">
        <is>
          <t>Bankrate super-prime used-auto average, updated 7/31/26; credit-union check BECU 5.99% effective 8/1/26</t>
        </is>
      </c>
    </row>
    <row r="5">
      <c r="B5" s="4" t="inlineStr">
        <is>
          <t>Down payment (scenario 2)</t>
        </is>
      </c>
      <c r="C5" s="17" t="n">
        <v>5000</v>
      </c>
    </row>
    <row r="6">
      <c r="B6" s="4" t="inlineStr">
        <is>
          <t>License / title / RTA est.</t>
        </is>
      </c>
      <c r="C6" s="17" t="n">
        <v>600</v>
      </c>
    </row>
    <row r="8">
      <c r="B8" s="5" t="inlineStr">
        <is>
          <t>#</t>
        </is>
      </c>
      <c r="C8" s="5" t="inlineStr">
        <is>
          <t>Car</t>
        </is>
      </c>
      <c r="D8" s="5" t="inlineStr">
        <is>
          <t>Dealer</t>
        </is>
      </c>
      <c r="E8" s="5" t="inlineStr">
        <is>
          <t>Basis</t>
        </is>
      </c>
      <c r="F8" s="5" t="inlineStr">
        <is>
          <t>Vehicle price</t>
        </is>
      </c>
      <c r="G8" s="5" t="inlineStr">
        <is>
          <t>Tax rate</t>
        </is>
      </c>
      <c r="H8" s="5" t="inlineStr">
        <is>
          <t>Doc fee</t>
        </is>
      </c>
      <c r="I8" s="5" t="inlineStr">
        <is>
          <t>Est. OTD</t>
        </is>
      </c>
      <c r="J8" s="5" t="inlineStr">
        <is>
          <t>Written OTD</t>
        </is>
      </c>
      <c r="K8" s="5" t="inlineStr">
        <is>
          <t>OTD used</t>
        </is>
      </c>
      <c r="L8" s="5" t="inlineStr">
        <is>
          <t>Monthly @ $0 down</t>
        </is>
      </c>
      <c r="M8" s="5" t="inlineStr">
        <is>
          <t>Monthly @ down pmt</t>
        </is>
      </c>
      <c r="N8" s="5" t="inlineStr">
        <is>
          <t>Total interest @ $0</t>
        </is>
      </c>
      <c r="O8" s="5" t="inlineStr">
        <is>
          <t>Quote date / note</t>
        </is>
      </c>
    </row>
    <row r="9">
      <c r="B9" s="6" t="n">
        <v>10</v>
      </c>
      <c r="C9" s="7" t="inlineStr">
        <is>
          <t>2023 2.5 S Preferred</t>
        </is>
      </c>
      <c r="D9" s="7" t="inlineStr">
        <is>
          <t>Columbia Sales &amp; Service</t>
        </is>
      </c>
      <c r="E9" s="7" t="inlineStr">
        <is>
          <t>est</t>
        </is>
      </c>
      <c r="F9" s="9" t="n">
        <v>23995</v>
      </c>
      <c r="G9" s="10" t="n">
        <v>0.1105</v>
      </c>
      <c r="H9" s="9" t="n">
        <v>100</v>
      </c>
      <c r="I9" s="12">
        <f>F9*(1+G9)+H9+$C$6</f>
        <v/>
      </c>
      <c r="J9" s="11" t="n"/>
      <c r="K9" s="14">
        <f>IF(J9&gt;0,J9,I9)</f>
        <v/>
      </c>
      <c r="L9" s="12">
        <f>-PMT($C$3/12,$C$4,K9)</f>
        <v/>
      </c>
      <c r="M9" s="12">
        <f>-PMT($C$3/12,$C$4,MAX(0,K9-$C$5))</f>
        <v/>
      </c>
      <c r="N9" s="12">
        <f>L9*$C$4-K9</f>
        <v/>
      </c>
      <c r="O9" s="7" t="inlineStr">
        <is>
          <t>est. at Portland, OR rate</t>
        </is>
      </c>
    </row>
    <row r="10">
      <c r="B10" s="6" t="n">
        <v>6</v>
      </c>
      <c r="C10" s="7" t="inlineStr">
        <is>
          <t>2021 Carbon Ed Turbo AWD</t>
        </is>
      </c>
      <c r="D10" s="7" t="inlineStr">
        <is>
          <t>Puyallup Mazda</t>
        </is>
      </c>
      <c r="E10" s="7" t="inlineStr">
        <is>
          <t>est</t>
        </is>
      </c>
      <c r="F10" s="9" t="n">
        <v>24998</v>
      </c>
      <c r="G10" s="10" t="n">
        <v>0.108</v>
      </c>
      <c r="H10" s="9" t="n">
        <v>200</v>
      </c>
      <c r="I10" s="12">
        <f>F10*(1+G10)+H10+$C$6</f>
        <v/>
      </c>
      <c r="J10" s="11" t="n"/>
      <c r="K10" s="14">
        <f>IF(J10&gt;0,J10,I10)</f>
        <v/>
      </c>
      <c r="L10" s="12">
        <f>-PMT($C$3/12,$C$4,K10)</f>
        <v/>
      </c>
      <c r="M10" s="12">
        <f>-PMT($C$3/12,$C$4,MAX(0,K10-$C$5))</f>
        <v/>
      </c>
      <c r="N10" s="12">
        <f>L10*$C$4-K10</f>
        <v/>
      </c>
      <c r="O10" s="7" t="inlineStr">
        <is>
          <t>est. at Puyallup, WA rate</t>
        </is>
      </c>
    </row>
    <row r="11">
      <c r="B11" s="6" t="n">
        <v>5</v>
      </c>
      <c r="C11" s="7" t="inlineStr">
        <is>
          <t>2021 Grand Touring AWD</t>
        </is>
      </c>
      <c r="D11" s="7" t="inlineStr">
        <is>
          <t>Hyundai of Kirkland / Ford of Kirkland</t>
        </is>
      </c>
      <c r="E11" s="7" t="inlineStr">
        <is>
          <t>quoted</t>
        </is>
      </c>
      <c r="F11" s="9" t="n">
        <v>25192</v>
      </c>
      <c r="G11" s="10" t="n">
        <v>0.108</v>
      </c>
      <c r="H11" s="9" t="n">
        <v>200</v>
      </c>
      <c r="I11" s="12">
        <f>F11*(1+G11)+H11+$C$6</f>
        <v/>
      </c>
      <c r="J11" s="11" t="n">
        <v>28591.14</v>
      </c>
      <c r="K11" s="14">
        <f>IF(J11&gt;0,J11,I11)</f>
        <v/>
      </c>
      <c r="L11" s="12">
        <f>-PMT($C$3/12,$C$4,K11)</f>
        <v/>
      </c>
      <c r="M11" s="12">
        <f>-PMT($C$3/12,$C$4,MAX(0,K11-$C$5))</f>
        <v/>
      </c>
      <c r="N11" s="12">
        <f>L11*$C$4-K11</f>
        <v/>
      </c>
      <c r="O11" s="7" t="inlineStr">
        <is>
          <t>Aug 11 sheet</t>
        </is>
      </c>
    </row>
    <row r="12">
      <c r="B12" s="6" t="n">
        <v>17</v>
      </c>
      <c r="C12" s="7" t="inlineStr">
        <is>
          <t>2021 Grand Touring w/ GT Premium pkg</t>
        </is>
      </c>
      <c r="D12" s="7" t="inlineStr">
        <is>
          <t>Auto 206 (independent)</t>
        </is>
      </c>
      <c r="E12" s="7" t="inlineStr">
        <is>
          <t>quoted</t>
        </is>
      </c>
      <c r="F12" s="9" t="n">
        <v>25799</v>
      </c>
      <c r="G12" s="10" t="n">
        <v>0.109</v>
      </c>
      <c r="H12" s="9" t="n">
        <v>0</v>
      </c>
      <c r="I12" s="12">
        <f>F12*(1+G12)+H12+$C$6</f>
        <v/>
      </c>
      <c r="J12" s="11" t="n">
        <v>28718.6</v>
      </c>
      <c r="K12" s="14">
        <f>IF(J12&gt;0,J12,I12)</f>
        <v/>
      </c>
      <c r="L12" s="12">
        <f>-PMT($C$3/12,$C$4,K12)</f>
        <v/>
      </c>
      <c r="M12" s="12">
        <f>-PMT($C$3/12,$C$4,MAX(0,K12-$C$5))</f>
        <v/>
      </c>
      <c r="N12" s="12">
        <f>L12*$C$4-K12</f>
        <v/>
      </c>
      <c r="O12" s="7" t="inlineStr">
        <is>
          <t>Aug 11 sheet</t>
        </is>
      </c>
    </row>
    <row r="13">
      <c r="B13" s="6" t="n">
        <v>21</v>
      </c>
      <c r="C13" s="7" t="inlineStr">
        <is>
          <t>2021 Signature (2.5T)</t>
        </is>
      </c>
      <c r="D13" s="7" t="inlineStr">
        <is>
          <t>Cortes Auto Center (independent)</t>
        </is>
      </c>
      <c r="E13" s="7" t="inlineStr">
        <is>
          <t>est</t>
        </is>
      </c>
      <c r="F13" s="9" t="n">
        <v>25999</v>
      </c>
      <c r="G13" s="10" t="n">
        <v>0.091</v>
      </c>
      <c r="H13" s="9" t="n">
        <v>200</v>
      </c>
      <c r="I13" s="12">
        <f>F13*(1+G13)+H13+$C$6</f>
        <v/>
      </c>
      <c r="J13" s="11" t="n"/>
      <c r="K13" s="14">
        <f>IF(J13&gt;0,J13,I13)</f>
        <v/>
      </c>
      <c r="L13" s="12">
        <f>-PMT($C$3/12,$C$4,K13)</f>
        <v/>
      </c>
      <c r="M13" s="12">
        <f>-PMT($C$3/12,$C$4,MAX(0,K13-$C$5))</f>
        <v/>
      </c>
      <c r="N13" s="12">
        <f>L13*$C$4-K13</f>
        <v/>
      </c>
      <c r="O13" s="7" t="inlineStr">
        <is>
          <t>est. at Burlington, WA rate</t>
        </is>
      </c>
    </row>
    <row r="14">
      <c r="B14" s="6" t="n">
        <v>4</v>
      </c>
      <c r="C14" s="7" t="inlineStr">
        <is>
          <t>2021 Carbon Edition Turbo</t>
        </is>
      </c>
      <c r="D14" s="7" t="inlineStr">
        <is>
          <t>Ron Tonkin Honda</t>
        </is>
      </c>
      <c r="E14" s="7" t="inlineStr">
        <is>
          <t>est</t>
        </is>
      </c>
      <c r="F14" s="9" t="n">
        <v>25852</v>
      </c>
      <c r="G14" s="10" t="n">
        <v>0.1105</v>
      </c>
      <c r="H14" s="9" t="n">
        <v>250</v>
      </c>
      <c r="I14" s="12">
        <f>F14*(1+G14)+H14+$C$6</f>
        <v/>
      </c>
      <c r="J14" s="11" t="n"/>
      <c r="K14" s="14">
        <f>IF(J14&gt;0,J14,I14)</f>
        <v/>
      </c>
      <c r="L14" s="12">
        <f>-PMT($C$3/12,$C$4,K14)</f>
        <v/>
      </c>
      <c r="M14" s="12">
        <f>-PMT($C$3/12,$C$4,MAX(0,K14-$C$5))</f>
        <v/>
      </c>
      <c r="N14" s="12">
        <f>L14*$C$4-K14</f>
        <v/>
      </c>
      <c r="O14" s="7" t="inlineStr">
        <is>
          <t>est. at Portland, OR rate</t>
        </is>
      </c>
    </row>
    <row r="15">
      <c r="B15" s="6" t="n">
        <v>12</v>
      </c>
      <c r="C15" s="7" t="inlineStr">
        <is>
          <t>2023 2.5 S Preferred · Mazda CPO</t>
        </is>
      </c>
      <c r="D15" s="7" t="inlineStr">
        <is>
          <t>Lee Johnson Mazda of Seattle</t>
        </is>
      </c>
      <c r="E15" s="7" t="inlineStr">
        <is>
          <t>est</t>
        </is>
      </c>
      <c r="F15" s="9" t="n">
        <v>26348</v>
      </c>
      <c r="G15" s="10" t="n">
        <v>0.1105</v>
      </c>
      <c r="H15" s="9" t="n">
        <v>200</v>
      </c>
      <c r="I15" s="12">
        <f>F15*(1+G15)+H15+$C$6</f>
        <v/>
      </c>
      <c r="J15" s="11" t="n"/>
      <c r="K15" s="14">
        <f>IF(J15&gt;0,J15,I15)</f>
        <v/>
      </c>
      <c r="L15" s="12">
        <f>-PMT($C$3/12,$C$4,K15)</f>
        <v/>
      </c>
      <c r="M15" s="12">
        <f>-PMT($C$3/12,$C$4,MAX(0,K15-$C$5))</f>
        <v/>
      </c>
      <c r="N15" s="12">
        <f>L15*$C$4-K15</f>
        <v/>
      </c>
      <c r="O15" s="7" t="inlineStr">
        <is>
          <t>est. at Seattle, WA rate</t>
        </is>
      </c>
    </row>
    <row r="16">
      <c r="B16" s="6" t="n">
        <v>20</v>
      </c>
      <c r="C16" s="7" t="inlineStr">
        <is>
          <t>2023 2.5 S Preferred</t>
        </is>
      </c>
      <c r="D16" s="7" t="inlineStr">
        <is>
          <t>Royal Moore Mazda</t>
        </is>
      </c>
      <c r="E16" s="7" t="inlineStr">
        <is>
          <t>est</t>
        </is>
      </c>
      <c r="F16" s="9" t="n">
        <v>26500</v>
      </c>
      <c r="G16" s="10" t="n">
        <v>0.1105</v>
      </c>
      <c r="H16" s="9" t="n">
        <v>250</v>
      </c>
      <c r="I16" s="12">
        <f>F16*(1+G16)+H16+$C$6</f>
        <v/>
      </c>
      <c r="J16" s="11" t="n"/>
      <c r="K16" s="14">
        <f>IF(J16&gt;0,J16,I16)</f>
        <v/>
      </c>
      <c r="L16" s="12">
        <f>-PMT($C$3/12,$C$4,K16)</f>
        <v/>
      </c>
      <c r="M16" s="12">
        <f>-PMT($C$3/12,$C$4,MAX(0,K16-$C$5))</f>
        <v/>
      </c>
      <c r="N16" s="12">
        <f>L16*$C$4-K16</f>
        <v/>
      </c>
      <c r="O16" s="7" t="inlineStr">
        <is>
          <t>est. at Hillsboro, OR rate</t>
        </is>
      </c>
    </row>
    <row r="17">
      <c r="B17" s="6" t="n">
        <v>8</v>
      </c>
      <c r="C17" s="7" t="inlineStr">
        <is>
          <t>2023 2.5 S Preferred</t>
        </is>
      </c>
      <c r="D17" s="7" t="inlineStr">
        <is>
          <t>Royal Moore Mazda</t>
        </is>
      </c>
      <c r="E17" s="7" t="inlineStr">
        <is>
          <t>est</t>
        </is>
      </c>
      <c r="F17" s="9" t="n">
        <v>26900</v>
      </c>
      <c r="G17" s="10" t="n">
        <v>0.1105</v>
      </c>
      <c r="H17" s="9" t="n">
        <v>0</v>
      </c>
      <c r="I17" s="12">
        <f>F17*(1+G17)+H17+$C$6</f>
        <v/>
      </c>
      <c r="J17" s="11" t="n"/>
      <c r="K17" s="14">
        <f>IF(J17&gt;0,J17,I17)</f>
        <v/>
      </c>
      <c r="L17" s="12">
        <f>-PMT($C$3/12,$C$4,K17)</f>
        <v/>
      </c>
      <c r="M17" s="12">
        <f>-PMT($C$3/12,$C$4,MAX(0,K17-$C$5))</f>
        <v/>
      </c>
      <c r="N17" s="12">
        <f>L17*$C$4-K17</f>
        <v/>
      </c>
      <c r="O17" s="7" t="inlineStr">
        <is>
          <t>est. at Hillsboro, OR rate</t>
        </is>
      </c>
    </row>
    <row r="18">
      <c r="B18" s="6" t="n">
        <v>19</v>
      </c>
      <c r="C18" s="7" t="inlineStr">
        <is>
          <t>2021 Signature (2.5T, ventilated)</t>
        </is>
      </c>
      <c r="D18" s="7" t="inlineStr">
        <is>
          <t>Tonkin Gresham Honda</t>
        </is>
      </c>
      <c r="E18" s="7" t="inlineStr">
        <is>
          <t>est</t>
        </is>
      </c>
      <c r="F18" s="9" t="n">
        <v>26712</v>
      </c>
      <c r="G18" s="10" t="n">
        <v>0.1105</v>
      </c>
      <c r="H18" s="9" t="n">
        <v>250</v>
      </c>
      <c r="I18" s="12">
        <f>F18*(1+G18)+H18+$C$6</f>
        <v/>
      </c>
      <c r="J18" s="11" t="n"/>
      <c r="K18" s="14">
        <f>IF(J18&gt;0,J18,I18)</f>
        <v/>
      </c>
      <c r="L18" s="12">
        <f>-PMT($C$3/12,$C$4,K18)</f>
        <v/>
      </c>
      <c r="M18" s="12">
        <f>-PMT($C$3/12,$C$4,MAX(0,K18-$C$5))</f>
        <v/>
      </c>
      <c r="N18" s="12">
        <f>L18*$C$4-K18</f>
        <v/>
      </c>
      <c r="O18" s="7" t="inlineStr">
        <is>
          <t>est. at Troutdale, OR rate</t>
        </is>
      </c>
    </row>
    <row r="19">
      <c r="B19" s="6" t="n">
        <v>13</v>
      </c>
      <c r="C19" s="7" t="inlineStr">
        <is>
          <t>2022 2.5 S Premium Plus</t>
        </is>
      </c>
      <c r="D19" s="7" t="inlineStr">
        <is>
          <t>Titus-Will Chevrolet GMC Cadillac</t>
        </is>
      </c>
      <c r="E19" s="7" t="inlineStr">
        <is>
          <t>quoted</t>
        </is>
      </c>
      <c r="F19" s="9" t="n">
        <v>27389</v>
      </c>
      <c r="G19" s="10" t="n">
        <v>0.102</v>
      </c>
      <c r="H19" s="9" t="n">
        <v>200</v>
      </c>
      <c r="I19" s="12">
        <f>F19*(1+G19)+H19+$C$6</f>
        <v/>
      </c>
      <c r="J19" s="11" t="n">
        <v>31000</v>
      </c>
      <c r="K19" s="14">
        <f>IF(J19&gt;0,J19,I19)</f>
        <v/>
      </c>
      <c r="L19" s="12">
        <f>-PMT($C$3/12,$C$4,K19)</f>
        <v/>
      </c>
      <c r="M19" s="12">
        <f>-PMT($C$3/12,$C$4,MAX(0,K19-$C$5))</f>
        <v/>
      </c>
      <c r="N19" s="12">
        <f>L19*$C$4-K19</f>
        <v/>
      </c>
      <c r="O19" s="7" t="inlineStr">
        <is>
          <t>Aug 11 sheet</t>
        </is>
      </c>
    </row>
    <row r="20">
      <c r="B20" s="6" t="n">
        <v>9</v>
      </c>
      <c r="C20" s="7" t="inlineStr">
        <is>
          <t>2023 2.5 S Carbon Edition</t>
        </is>
      </c>
      <c r="D20" s="7" t="inlineStr">
        <is>
          <t>Puyallup Mazda</t>
        </is>
      </c>
      <c r="E20" s="7" t="inlineStr">
        <is>
          <t>est</t>
        </is>
      </c>
      <c r="F20" s="9" t="n">
        <v>27499</v>
      </c>
      <c r="G20" s="10" t="n">
        <v>0.108</v>
      </c>
      <c r="H20" s="9" t="n">
        <v>200</v>
      </c>
      <c r="I20" s="12">
        <f>F20*(1+G20)+H20+$C$6</f>
        <v/>
      </c>
      <c r="J20" s="11" t="n"/>
      <c r="K20" s="14">
        <f>IF(J20&gt;0,J20,I20)</f>
        <v/>
      </c>
      <c r="L20" s="12">
        <f>-PMT($C$3/12,$C$4,K20)</f>
        <v/>
      </c>
      <c r="M20" s="12">
        <f>-PMT($C$3/12,$C$4,MAX(0,K20-$C$5))</f>
        <v/>
      </c>
      <c r="N20" s="12">
        <f>L20*$C$4-K20</f>
        <v/>
      </c>
      <c r="O20" s="7" t="inlineStr">
        <is>
          <t>est. at Puyallup, WA rate</t>
        </is>
      </c>
    </row>
    <row r="21">
      <c r="B21" s="6" t="n">
        <v>7</v>
      </c>
      <c r="C21" s="7" t="inlineStr">
        <is>
          <t>2022 2.5 S Carbon Edition</t>
        </is>
      </c>
      <c r="D21" s="7" t="inlineStr">
        <is>
          <t>Lee Johnson Mazda of Seattle</t>
        </is>
      </c>
      <c r="E21" s="7" t="inlineStr">
        <is>
          <t>est</t>
        </is>
      </c>
      <c r="F21" s="9" t="n">
        <v>27512</v>
      </c>
      <c r="G21" s="10" t="n">
        <v>0.1105</v>
      </c>
      <c r="H21" s="9" t="n">
        <v>200</v>
      </c>
      <c r="I21" s="12">
        <f>F21*(1+G21)+H21+$C$6</f>
        <v/>
      </c>
      <c r="J21" s="11" t="n"/>
      <c r="K21" s="14">
        <f>IF(J21&gt;0,J21,I21)</f>
        <v/>
      </c>
      <c r="L21" s="12">
        <f>-PMT($C$3/12,$C$4,K21)</f>
        <v/>
      </c>
      <c r="M21" s="12">
        <f>-PMT($C$3/12,$C$4,MAX(0,K21-$C$5))</f>
        <v/>
      </c>
      <c r="N21" s="12">
        <f>L21*$C$4-K21</f>
        <v/>
      </c>
      <c r="O21" s="7" t="inlineStr">
        <is>
          <t>est. at Seattle, WA rate</t>
        </is>
      </c>
    </row>
    <row r="22">
      <c r="B22" s="6" t="n">
        <v>1</v>
      </c>
      <c r="C22" s="7" t="inlineStr">
        <is>
          <t>2023 2.5 Turbo AWD</t>
        </is>
      </c>
      <c r="D22" s="7" t="inlineStr">
        <is>
          <t>Puyallup Mazda</t>
        </is>
      </c>
      <c r="E22" s="7" t="inlineStr">
        <is>
          <t>est</t>
        </is>
      </c>
      <c r="F22" s="9" t="n">
        <v>27999</v>
      </c>
      <c r="G22" s="10" t="n">
        <v>0.108</v>
      </c>
      <c r="H22" s="9" t="n">
        <v>200</v>
      </c>
      <c r="I22" s="12">
        <f>F22*(1+G22)+H22+$C$6</f>
        <v/>
      </c>
      <c r="J22" s="11" t="n"/>
      <c r="K22" s="14">
        <f>IF(J22&gt;0,J22,I22)</f>
        <v/>
      </c>
      <c r="L22" s="12">
        <f>-PMT($C$3/12,$C$4,K22)</f>
        <v/>
      </c>
      <c r="M22" s="12">
        <f>-PMT($C$3/12,$C$4,MAX(0,K22-$C$5))</f>
        <v/>
      </c>
      <c r="N22" s="12">
        <f>L22*$C$4-K22</f>
        <v/>
      </c>
      <c r="O22" s="7" t="inlineStr">
        <is>
          <t>est. at Puyallup, WA rate</t>
        </is>
      </c>
    </row>
    <row r="23">
      <c r="B23" s="18" t="n">
        <v>15</v>
      </c>
      <c r="C23" s="19" t="inlineStr">
        <is>
          <t>2023 2.5 S Premium · no-haggle (benchmark)</t>
        </is>
      </c>
      <c r="D23" s="19" t="inlineStr">
        <is>
          <t>CarMax Renton</t>
        </is>
      </c>
      <c r="E23" s="19" t="inlineStr">
        <is>
          <t>est</t>
        </is>
      </c>
      <c r="F23" s="20" t="n">
        <v>27998</v>
      </c>
      <c r="G23" s="21" t="n">
        <v>0.11</v>
      </c>
      <c r="H23" s="20" t="n">
        <v>200</v>
      </c>
      <c r="I23" s="22">
        <f>F23*(1+G23)+H23+$C$6</f>
        <v/>
      </c>
      <c r="J23" s="23" t="n"/>
      <c r="K23" s="24">
        <f>IF(J23&gt;0,J23,I23)</f>
        <v/>
      </c>
      <c r="L23" s="22">
        <f>-PMT($C$3/12,$C$4,K23)</f>
        <v/>
      </c>
      <c r="M23" s="22">
        <f>-PMT($C$3/12,$C$4,MAX(0,K23-$C$5))</f>
        <v/>
      </c>
      <c r="N23" s="22">
        <f>L23*$C$4-K23</f>
        <v/>
      </c>
      <c r="O23" s="19" t="inlineStr">
        <is>
          <t>est. at Renton, WA rate</t>
        </is>
      </c>
    </row>
    <row r="24">
      <c r="B24" s="6" t="n">
        <v>14</v>
      </c>
      <c r="C24" s="7" t="inlineStr">
        <is>
          <t>2023 2.5 S Premium</t>
        </is>
      </c>
      <c r="D24" s="7" t="inlineStr">
        <is>
          <t>Rodland Toyota of Everett</t>
        </is>
      </c>
      <c r="E24" s="7" t="inlineStr">
        <is>
          <t>quoted</t>
        </is>
      </c>
      <c r="F24" s="9" t="n">
        <v>28287</v>
      </c>
      <c r="G24" s="10" t="n">
        <v>0.104</v>
      </c>
      <c r="H24" s="9" t="n">
        <v>200</v>
      </c>
      <c r="I24" s="12">
        <f>F24*(1+G24)+H24+$C$6</f>
        <v/>
      </c>
      <c r="J24" s="11" t="n">
        <v>31957.24</v>
      </c>
      <c r="K24" s="14">
        <f>IF(J24&gt;0,J24,I24)</f>
        <v/>
      </c>
      <c r="L24" s="12">
        <f>-PMT($C$3/12,$C$4,K24)</f>
        <v/>
      </c>
      <c r="M24" s="12">
        <f>-PMT($C$3/12,$C$4,MAX(0,K24-$C$5))</f>
        <v/>
      </c>
      <c r="N24" s="12">
        <f>L24*$C$4-K24</f>
        <v/>
      </c>
      <c r="O24" s="7" t="inlineStr">
        <is>
          <t>Aug 11 sheet</t>
        </is>
      </c>
    </row>
    <row r="26">
      <c r="B26" s="4" t="inlineStr">
        <is>
          <t>Cheapest solid vs. stretch</t>
        </is>
      </c>
    </row>
    <row r="27">
      <c r="B27" s="7" t="n"/>
      <c r="C27" s="4" t="inlineStr">
        <is>
          <t>Cheapest solid</t>
        </is>
      </c>
      <c r="D27" s="7" t="inlineStr">
        <is>
          <t>#5 2021 Grand Touring AWD · Hyundai of Kirkland</t>
        </is>
      </c>
      <c r="E27" s="7" t="inlineStr">
        <is>
          <t>quoted</t>
        </is>
      </c>
      <c r="F27" s="12" t="n">
        <v>24992</v>
      </c>
      <c r="G27" s="7" t="n"/>
      <c r="H27" s="7" t="n"/>
      <c r="I27" s="7" t="n"/>
      <c r="J27" s="7" t="n"/>
      <c r="K27" s="12" t="n">
        <v>28591.14</v>
      </c>
      <c r="L27" s="12" t="n">
        <v>556.7439727314284</v>
      </c>
      <c r="M27" s="12" t="n">
        <v>459.3809482540154</v>
      </c>
      <c r="N27" s="12" t="n">
        <v>4813.498363885701</v>
      </c>
    </row>
    <row r="28">
      <c r="B28" s="7" t="n"/>
      <c r="C28" s="4" t="inlineStr">
        <is>
          <t>Stretch</t>
        </is>
      </c>
      <c r="D28" s="7" t="inlineStr">
        <is>
          <t>#1 2023 2.5 Turbo AWD · Puyallup Mazda</t>
        </is>
      </c>
      <c r="E28" s="7" t="inlineStr">
        <is>
          <t>est</t>
        </is>
      </c>
      <c r="F28" s="12" t="n">
        <v>27999</v>
      </c>
      <c r="G28" s="7" t="n"/>
      <c r="H28" s="7" t="n"/>
      <c r="I28" s="7" t="n"/>
      <c r="J28" s="7" t="n"/>
      <c r="K28" s="12" t="n">
        <v>31822.892</v>
      </c>
      <c r="L28" s="12" t="n">
        <v>619.6746025476141</v>
      </c>
      <c r="M28" s="12" t="n">
        <v>522.3115780702011</v>
      </c>
      <c r="N28" s="12" t="n">
        <v>5357.584152856845</v>
      </c>
    </row>
    <row r="29">
      <c r="B29" s="25" t="n"/>
      <c r="C29" s="25" t="inlineStr">
        <is>
          <t>Δ</t>
        </is>
      </c>
      <c r="D29" s="25" t="n"/>
      <c r="E29" s="25" t="n"/>
      <c r="F29" s="26" t="n">
        <v>3007</v>
      </c>
      <c r="G29" s="25" t="n"/>
      <c r="H29" s="25" t="n"/>
      <c r="I29" s="25" t="n"/>
      <c r="J29" s="25" t="n"/>
      <c r="K29" s="26" t="n">
        <v>3231.752000000004</v>
      </c>
      <c r="L29" s="26" t="n">
        <v>62.93062981618573</v>
      </c>
      <c r="M29" s="26" t="n">
        <v>62.93062981618573</v>
      </c>
      <c r="N29" s="26" t="n">
        <v>544.0857889711442</v>
      </c>
    </row>
    <row r="31">
      <c r="B31" s="16" t="inlineStr">
        <is>
          <t>Rule: cheapest solid = lowest out-the-door figure (written quote where one exists, else the estimate) among live cars with a verified 1-owner / 0-accident history (or Mazda CPO) at a franchise dealer; stretch = best-value live 2023 in the Turbo / Premium tiers, ranked by list price against KBB Seattle fair purchase price.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6046"/>
    <outlinePr summaryBelow="1" summaryRight="1"/>
    <pageSetUpPr/>
  </sheetPr>
  <dimension ref="B1:O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5" customWidth="1" min="2" max="2"/>
    <col width="6" customWidth="1" min="3" max="3"/>
    <col width="30" customWidth="1" min="4" max="4"/>
    <col width="30" customWidth="1" min="5" max="5"/>
    <col width="16" customWidth="1" min="6" max="6"/>
    <col width="12" customWidth="1" min="7" max="7"/>
    <col width="9" customWidth="1" min="8" max="8"/>
    <col width="10" customWidth="1" min="9" max="9"/>
    <col width="50" customWidth="1" min="10" max="10"/>
    <col width="50" customWidth="1" min="11" max="11"/>
  </cols>
  <sheetData>
    <row r="1">
      <c r="B1" s="1" t="inlineStr">
        <is>
          <t>Sold and removed since publication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#</t>
        </is>
      </c>
      <c r="C3" s="5" t="inlineStr">
        <is>
          <t>Year</t>
        </is>
      </c>
      <c r="D3" s="5" t="inlineStr">
        <is>
          <t>Trim</t>
        </is>
      </c>
      <c r="E3" s="5" t="inlineStr">
        <is>
          <t>Dealer</t>
        </is>
      </c>
      <c r="F3" s="5" t="inlineStr">
        <is>
          <t>City</t>
        </is>
      </c>
      <c r="G3" s="5" t="inlineStr">
        <is>
          <t>Was listed $</t>
        </is>
      </c>
      <c r="H3" s="5" t="inlineStr">
        <is>
          <t>Miles</t>
        </is>
      </c>
      <c r="I3" s="5" t="inlineStr">
        <is>
          <t>Sold</t>
        </is>
      </c>
      <c r="J3" s="5" t="inlineStr">
        <is>
          <t>How confirmed</t>
        </is>
      </c>
      <c r="K3" s="5" t="inlineStr">
        <is>
          <t>Listing URL</t>
        </is>
      </c>
    </row>
    <row r="4">
      <c r="B4" s="6" t="n">
        <v>2</v>
      </c>
      <c r="C4" s="8" t="n">
        <v>2022</v>
      </c>
      <c r="D4" s="7" t="inlineStr">
        <is>
          <t>2.5 Turbo AWD</t>
        </is>
      </c>
      <c r="E4" s="7" t="inlineStr">
        <is>
          <t>Acura of Seattle</t>
        </is>
      </c>
      <c r="F4" s="7" t="inlineStr">
        <is>
          <t>Tukwila, WA</t>
        </is>
      </c>
      <c r="G4" s="9" t="n">
        <v>27300</v>
      </c>
      <c r="H4" s="6" t="n">
        <v>25353</v>
      </c>
      <c r="I4" s="7" t="inlineStr">
        <is>
          <t>Aug 11</t>
        </is>
      </c>
      <c r="J4" s="7" t="inlineStr">
        <is>
          <t>confirmed Aug 11 PM</t>
        </is>
      </c>
      <c r="K4" s="7" t="inlineStr">
        <is>
          <t>https://www.cargurus.com/Cars/listing/451655500</t>
        </is>
      </c>
    </row>
    <row r="5">
      <c r="B5" s="6" t="n">
        <v>3</v>
      </c>
      <c r="C5" s="8" t="n">
        <v>2021</v>
      </c>
      <c r="D5" s="7" t="inlineStr">
        <is>
          <t>Grand Touring Reserve AWD (2.5 Turbo)</t>
        </is>
      </c>
      <c r="E5" s="7" t="inlineStr">
        <is>
          <t>BMW Seattle</t>
        </is>
      </c>
      <c r="F5" s="7" t="inlineStr">
        <is>
          <t>Seattle, WA</t>
        </is>
      </c>
      <c r="G5" s="9" t="n">
        <v>24999</v>
      </c>
      <c r="H5" s="6" t="n">
        <v>39141</v>
      </c>
      <c r="I5" s="7" t="inlineStr">
        <is>
          <t>Aug 11</t>
        </is>
      </c>
      <c r="J5" s="7" t="inlineStr">
        <is>
          <t>dealer confirmed Aug 11 PM; CarGurus copy closed Aug 12</t>
        </is>
      </c>
      <c r="K5" s="7" t="inlineStr">
        <is>
          <t>https://www.cargurus.com/Cars/listing/455054228</t>
        </is>
      </c>
    </row>
    <row r="6">
      <c r="B6" s="6" t="n">
        <v>11</v>
      </c>
      <c r="C6" s="8" t="n">
        <v>2022</v>
      </c>
      <c r="D6" s="7" t="inlineStr">
        <is>
          <t>Carbon Edition</t>
        </is>
      </c>
      <c r="E6" s="7" t="inlineStr">
        <is>
          <t>CarMax Sacramento South</t>
        </is>
      </c>
      <c r="F6" s="7" t="inlineStr">
        <is>
          <t>Sacramento, CA</t>
        </is>
      </c>
      <c r="G6" s="9" t="n">
        <v>24998</v>
      </c>
      <c r="H6" s="6" t="n">
        <v>48337</v>
      </c>
      <c r="I6" s="7" t="inlineStr">
        <is>
          <t>Aug 11</t>
        </is>
      </c>
      <c r="J6" s="7" t="inlineStr">
        <is>
          <t>Aug 11 PM</t>
        </is>
      </c>
      <c r="K6" s="7" t="inlineStr">
        <is>
          <t>https://www.carmax.com/car/70056694</t>
        </is>
      </c>
    </row>
    <row r="7">
      <c r="B7" s="6" t="n">
        <v>16</v>
      </c>
      <c r="C7" s="8" t="n">
        <v>2021</v>
      </c>
      <c r="D7" s="7" t="inlineStr">
        <is>
          <t>Grand Touring AWD</t>
        </is>
      </c>
      <c r="E7" s="7" t="inlineStr">
        <is>
          <t>Doug's Lynnwood Mazda</t>
        </is>
      </c>
      <c r="F7" s="7" t="inlineStr">
        <is>
          <t>Edmonds, WA</t>
        </is>
      </c>
      <c r="G7" s="9" t="n">
        <v>28700</v>
      </c>
      <c r="H7" s="6" t="n">
        <v>27089</v>
      </c>
      <c r="I7" s="7" t="inlineStr">
        <is>
          <t>Aug 11</t>
        </is>
      </c>
      <c r="J7" s="7" t="inlineStr">
        <is>
          <t>dealer email Aug 11 (sold Aug 10)</t>
        </is>
      </c>
      <c r="K7" s="7" t="inlineStr">
        <is>
          <t>https://www.cars.com/vehicledetail/495a1e58-37a7-480b-9f80-8bb411d8fa8f/</t>
        </is>
      </c>
    </row>
    <row r="8">
      <c r="B8" s="6" t="n">
        <v>18</v>
      </c>
      <c r="C8" s="8" t="n">
        <v>2023</v>
      </c>
      <c r="D8" s="7" t="inlineStr">
        <is>
          <t>2.5 S Preferred AWD</t>
        </is>
      </c>
      <c r="E8" s="7" t="inlineStr">
        <is>
          <t>Auto Connections of Bellevue (independent)</t>
        </is>
      </c>
      <c r="F8" s="7" t="inlineStr">
        <is>
          <t>Bellevue, WA</t>
        </is>
      </c>
      <c r="G8" s="9" t="n">
        <v>26495</v>
      </c>
      <c r="H8" s="6" t="n">
        <v>20533</v>
      </c>
      <c r="I8" s="7" t="inlineStr">
        <is>
          <t>Aug 11</t>
        </is>
      </c>
      <c r="J8" s="7" t="inlineStr">
        <is>
          <t>Aug 11, 11:51 AM</t>
        </is>
      </c>
      <c r="K8" s="7" t="inlineStr">
        <is>
          <t>https://www.cargurus.com/Cars/listing/450670232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6046"/>
    <outlinePr summaryBelow="1" summaryRight="1"/>
    <pageSetUpPr/>
  </sheetPr>
  <dimension ref="B1:O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42" customWidth="1" min="2" max="2"/>
    <col width="30" customWidth="1" min="3" max="3"/>
    <col width="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60" customWidth="1" min="10" max="10"/>
    <col width="55" customWidth="1" min="11" max="11"/>
  </cols>
  <sheetData>
    <row r="1">
      <c r="B1" s="1" t="inlineStr">
        <is>
          <t>Screened and parked (re-checked Aug 12, 2026)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Car</t>
        </is>
      </c>
      <c r="C3" s="5" t="inlineStr">
        <is>
          <t>Dealer</t>
        </is>
      </c>
      <c r="D3" s="5" t="inlineStr">
        <is>
          <t>State</t>
        </is>
      </c>
      <c r="E3" s="5" t="inlineStr">
        <is>
          <t>Price now</t>
        </is>
      </c>
      <c r="F3" s="5" t="inlineStr">
        <is>
          <t>Was</t>
        </is>
      </c>
      <c r="G3" s="5" t="inlineStr">
        <is>
          <t>Move</t>
        </is>
      </c>
      <c r="H3" s="5" t="inlineStr">
        <is>
          <t>Days listed</t>
        </is>
      </c>
      <c r="I3" s="5" t="inlineStr">
        <is>
          <t>Deal</t>
        </is>
      </c>
      <c r="J3" s="5" t="inlineStr">
        <is>
          <t>Why parked</t>
        </is>
      </c>
      <c r="K3" s="5" t="inlineStr">
        <is>
          <t>URL</t>
        </is>
      </c>
    </row>
    <row r="4">
      <c r="B4" s="7" t="inlineStr">
        <is>
          <t>2022 2.5 S Carbon Edition, 47,333 mi, $26,998+$200</t>
        </is>
      </c>
      <c r="C4" s="7" t="inlineStr">
        <is>
          <t>Doug's Lynnwood Mazda</t>
        </is>
      </c>
      <c r="D4" s="7" t="inlineStr">
        <is>
          <t>WA</t>
        </is>
      </c>
      <c r="E4" s="9" t="n">
        <v>27198</v>
      </c>
      <c r="F4" s="9" t="n">
        <v>27198</v>
      </c>
      <c r="G4" s="12" t="n">
        <v>0</v>
      </c>
      <c r="H4" s="6" t="n">
        <v>15</v>
      </c>
      <c r="I4" s="7" t="inlineStr">
        <is>
          <t>Fair</t>
        </is>
      </c>
      <c r="J4" s="3" t="inlineStr">
        <is>
          <t>Fair Deal rating, 47k mi; #7/#9 beat it on miles and CPO.</t>
        </is>
      </c>
      <c r="K4" s="7" t="inlineStr">
        <is>
          <t>https://www.cargurus.com/Cars/listing/454596751</t>
        </is>
      </c>
    </row>
    <row r="5">
      <c r="B5" s="7" t="inlineStr">
        <is>
          <t>Mazda CPO 2022 2.5 S Select, 48,468 mi, $24,081+$299</t>
        </is>
      </c>
      <c r="C5" s="7" t="inlineStr">
        <is>
          <t>West Hills Mazda, Bremerton</t>
        </is>
      </c>
      <c r="D5" s="7" t="inlineStr">
        <is>
          <t>WA</t>
        </is>
      </c>
      <c r="E5" s="9" t="n">
        <v>24081</v>
      </c>
      <c r="F5" s="9" t="n">
        <v>24081</v>
      </c>
      <c r="G5" s="12" t="n">
        <v>0</v>
      </c>
      <c r="H5" s="6" t="n"/>
      <c r="I5" s="7" t="n"/>
      <c r="J5" s="3" t="inlineStr">
        <is>
          <t>Cheapest Mazda-CPO car found, but Select trim (comfort-low) + 48k mi; budget backup only.</t>
        </is>
      </c>
      <c r="K5" s="7" t="inlineStr">
        <is>
          <t>https://www.autotrader.com/cars-for-sale/vehicle/786226153</t>
        </is>
      </c>
    </row>
    <row r="6">
      <c r="B6" s="7" t="inlineStr">
        <is>
          <t>2023 2.5 S Carbon Edition, 28,928 mi, $27,060+$200</t>
        </is>
      </c>
      <c r="C6" s="7" t="inlineStr">
        <is>
          <t>Titus-Will Used Cars - Olympia</t>
        </is>
      </c>
      <c r="D6" s="7" t="inlineStr">
        <is>
          <t>WA</t>
        </is>
      </c>
      <c r="E6" s="9" t="n">
        <v>27260</v>
      </c>
      <c r="F6" s="9" t="n">
        <v>27260</v>
      </c>
      <c r="G6" s="12" t="n">
        <v>0</v>
      </c>
      <c r="H6" s="6" t="n">
        <v>28</v>
      </c>
      <c r="I6" s="7" t="inlineStr">
        <is>
          <t>Good</t>
        </is>
      </c>
      <c r="J6" s="3" t="inlineStr">
        <is>
          <t>$1.6k of drops already; loses to #9 (CPO, same money).</t>
        </is>
      </c>
      <c r="K6" s="7" t="inlineStr">
        <is>
          <t>https://www.cargurus.com/Cars/listing/453420840</t>
        </is>
      </c>
    </row>
    <row r="7">
      <c r="B7" s="7" t="inlineStr">
        <is>
          <t>2023 2.5 S Carbon Edition, 23K mi, $28,998</t>
        </is>
      </c>
      <c r="C7" s="7" t="inlineStr">
        <is>
          <t>Rodland Toyota of Everett</t>
        </is>
      </c>
      <c r="D7" s="7" t="inlineStr">
        <is>
          <t>WA</t>
        </is>
      </c>
      <c r="E7" s="9" t="n">
        <v>28998</v>
      </c>
      <c r="F7" s="9" t="n">
        <v>28998</v>
      </c>
      <c r="G7" s="12" t="n">
        <v>0</v>
      </c>
      <c r="H7" s="6" t="n"/>
      <c r="I7" s="7" t="n"/>
      <c r="J7" s="3" t="inlineStr">
        <is>
          <t>At the cap before fees; #14 at the same store is the better comfort buy.</t>
        </is>
      </c>
      <c r="K7" s="7" t="inlineStr">
        <is>
          <t>https://www.autotrader.com/cars-for-sale/vehicle/787184706</t>
        </is>
      </c>
    </row>
    <row r="8">
      <c r="B8" s="7" t="inlineStr">
        <is>
          <t>2.5 S Preferred AWD (year unverified), 33,261 mi, $25,695+$200</t>
        </is>
      </c>
      <c r="C8" s="7" t="inlineStr">
        <is>
          <t>GoldBoyz Auto Sales, Puyallup (indie)</t>
        </is>
      </c>
      <c r="D8" s="7" t="inlineStr">
        <is>
          <t>WA</t>
        </is>
      </c>
      <c r="E8" s="9" t="n">
        <v>25895</v>
      </c>
      <c r="F8" s="9" t="n">
        <v>25895</v>
      </c>
      <c r="G8" s="12" t="n">
        <v>0</v>
      </c>
      <c r="H8" s="6" t="n">
        <v>71</v>
      </c>
      <c r="I8" s="7" t="inlineStr">
        <is>
          <t>Good</t>
        </is>
      </c>
      <c r="J8" s="3" t="inlineStr">
        <is>
          <t>Sponsored indie tile, 70 days on market; verify year + history before considering.</t>
        </is>
      </c>
      <c r="K8" s="7" t="inlineStr">
        <is>
          <t>https://www.cargurus.com/Cars/listing/449710675</t>
        </is>
      </c>
    </row>
    <row r="9">
      <c r="B9" s="7" t="inlineStr">
        <is>
          <t>2022 2.5 S Select, 28,548 mi, $24,995+$200</t>
        </is>
      </c>
      <c r="C9" s="7" t="inlineStr">
        <is>
          <t>Pacific Coast Auto Center, Burlington (indie)</t>
        </is>
      </c>
      <c r="D9" s="7" t="inlineStr">
        <is>
          <t>WA</t>
        </is>
      </c>
      <c r="E9" s="9" t="n">
        <v>25195</v>
      </c>
      <c r="F9" s="9" t="n">
        <v>25195</v>
      </c>
      <c r="G9" s="12" t="n">
        <v>0</v>
      </c>
      <c r="H9" s="6" t="n">
        <v>77</v>
      </c>
      <c r="I9" s="7" t="inlineStr">
        <is>
          <t>Fair</t>
        </is>
      </c>
      <c r="J9" s="3" t="inlineStr">
        <is>
          <t>Fair Deal, Select trim, 75 days; budget tier only.</t>
        </is>
      </c>
      <c r="K9" s="7" t="inlineStr">
        <is>
          <t>https://www.cargurus.com/Cars/listing/449233426</t>
        </is>
      </c>
    </row>
    <row r="10">
      <c r="B10" s="7" t="inlineStr">
        <is>
          <t>2021 Touring, 21,391 mi, $27,999-$28,199</t>
        </is>
      </c>
      <c r="C10" s="7" t="inlineStr">
        <is>
          <t>Mazda of Everett</t>
        </is>
      </c>
      <c r="D10" s="7" t="inlineStr">
        <is>
          <t>WA</t>
        </is>
      </c>
      <c r="E10" s="9" t="n">
        <v>27999</v>
      </c>
      <c r="F10" s="9" t="n">
        <v>27999</v>
      </c>
      <c r="G10" s="12" t="n">
        <v>0</v>
      </c>
      <c r="H10" s="6" t="n"/>
      <c r="I10" s="7" t="n"/>
      <c r="J10" s="3" t="inlineStr">
        <is>
          <t>Touring = below the comfort bar at a GT price.</t>
        </is>
      </c>
      <c r="K10" s="7" t="inlineStr">
        <is>
          <t>https://www.autotrader.com/cars-for-sale/vehicle/787834756</t>
        </is>
      </c>
    </row>
    <row r="11">
      <c r="B11" s="7" t="inlineStr">
        <is>
          <t>2021 Carbon Edition Turbo, 39,412 mi, $27,722</t>
        </is>
      </c>
      <c r="C11" s="7" t="inlineStr">
        <is>
          <t>Tonkin Gresham Honda</t>
        </is>
      </c>
      <c r="D11" s="7" t="inlineStr">
        <is>
          <t>OR</t>
        </is>
      </c>
      <c r="E11" s="9" t="n">
        <v>27722</v>
      </c>
      <c r="F11" s="9" t="n">
        <v>27722</v>
      </c>
      <c r="G11" s="12" t="n">
        <v>0</v>
      </c>
      <c r="H11" s="6" t="n"/>
      <c r="I11" s="7" t="n"/>
      <c r="J11" s="3" t="inlineStr">
        <is>
          <t>#4 is the same formula $1.6k cheaper.</t>
        </is>
      </c>
      <c r="K11" s="7" t="inlineStr">
        <is>
          <t>https://www.cars.com/vehicledetail/c5fca301-f2de-4480-801a-bed903370d40/</t>
        </is>
      </c>
    </row>
    <row r="12">
      <c r="B12" s="7" t="inlineStr">
        <is>
          <t>2023 2.5 S Carbon Edition, 32,594 mi, $27,400</t>
        </is>
      </c>
      <c r="C12" s="7" t="inlineStr">
        <is>
          <t>Lexus of Portland</t>
        </is>
      </c>
      <c r="D12" s="7" t="inlineStr">
        <is>
          <t>OR</t>
        </is>
      </c>
      <c r="E12" s="9" t="n"/>
      <c r="F12" s="9" t="n">
        <v>27400</v>
      </c>
      <c r="G12" s="12" t="n"/>
      <c r="H12" s="6" t="n"/>
      <c r="I12" s="7" t="n"/>
      <c r="J12" s="3" t="inlineStr">
        <is>
          <t>OR, loses to #9 (WA + CPO) at the same money.</t>
        </is>
      </c>
      <c r="K12" s="7" t="inlineStr">
        <is>
          <t>https://www.cars.com/vehicledetail/094ebb74-c5d0-4fa6-91f5-9b677cc9e444/</t>
        </is>
      </c>
    </row>
    <row r="13">
      <c r="B13" s="7" t="inlineStr">
        <is>
          <t>2023 2.5 S Select, 13,555 mi, $25,950</t>
        </is>
      </c>
      <c r="C13" s="7" t="inlineStr">
        <is>
          <t>Lexus of Portland</t>
        </is>
      </c>
      <c r="D13" s="7" t="inlineStr">
        <is>
          <t>OR</t>
        </is>
      </c>
      <c r="E13" s="9" t="n">
        <v>25950</v>
      </c>
      <c r="F13" s="9" t="n">
        <v>25950</v>
      </c>
      <c r="G13" s="12" t="n">
        <v>0</v>
      </c>
      <c r="H13" s="6" t="n"/>
      <c r="I13" s="7" t="n"/>
      <c r="J13" s="3" t="inlineStr">
        <is>
          <t>Lowest-mile car found, but Select trim + OR.</t>
        </is>
      </c>
      <c r="K13" s="7" t="inlineStr">
        <is>
          <t>https://www.cars.com/vehicledetail/59d3b36d-7131-439c-a3b7-7b91343a454d/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6046"/>
    <outlinePr summaryBelow="1" summaryRight="1"/>
    <pageSetUpPr/>
  </sheetPr>
  <dimension ref="B1:O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6" customWidth="1" min="2" max="2"/>
    <col width="2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  <col width="10" customWidth="1" min="9" max="9"/>
    <col width="8" customWidth="1" min="10" max="10"/>
  </cols>
  <sheetData>
    <row r="1">
      <c r="B1" s="1" t="inlineStr">
        <is>
          <t>KBB fair purchase price vs. lowest clean live listing (Aug 12, 2026)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Year</t>
        </is>
      </c>
      <c r="C3" s="5" t="inlineStr">
        <is>
          <t>Trim</t>
        </is>
      </c>
      <c r="D3" s="5" t="inlineStr">
        <is>
          <t>KBB nat'l FPP</t>
        </is>
      </c>
      <c r="E3" s="5" t="inlineStr">
        <is>
          <t>KBB Seattle FPP</t>
        </is>
      </c>
      <c r="F3" s="5" t="inlineStr">
        <is>
          <t>Lowest clean listing</t>
        </is>
      </c>
      <c r="G3" s="5" t="inlineStr">
        <is>
          <t>Source</t>
        </is>
      </c>
      <c r="H3" s="5" t="inlineStr">
        <is>
          <t>Δ vs Seattle (or nat’l)</t>
        </is>
      </c>
      <c r="I3" s="5" t="inlineStr">
        <is>
          <t>vs national?</t>
        </is>
      </c>
      <c r="J3" s="5" t="inlineStr">
        <is>
          <t>Listings</t>
        </is>
      </c>
    </row>
    <row r="4">
      <c r="B4" s="8" t="n">
        <v>2021</v>
      </c>
      <c r="C4" s="7" t="inlineStr">
        <is>
          <t>Touring</t>
        </is>
      </c>
      <c r="D4" s="9" t="n">
        <v>18600</v>
      </c>
      <c r="E4" s="9" t="n">
        <v>25809</v>
      </c>
      <c r="F4" s="9" t="n">
        <v>23998</v>
      </c>
      <c r="G4" s="7" t="inlineStr">
        <is>
          <t>CarMax</t>
        </is>
      </c>
      <c r="H4" s="12">
        <f>F4-IF(E4&gt;0,E4,D4)</f>
        <v/>
      </c>
      <c r="I4" s="7" t="inlineStr"/>
      <c r="J4" s="6" t="n">
        <v>10</v>
      </c>
    </row>
    <row r="5">
      <c r="B5" s="8" t="n">
        <v>2021</v>
      </c>
      <c r="C5" s="7" t="inlineStr">
        <is>
          <t>Grand Touring</t>
        </is>
      </c>
      <c r="D5" s="9" t="n">
        <v>19900</v>
      </c>
      <c r="E5" s="9" t="n">
        <v>27552</v>
      </c>
      <c r="F5" s="9" t="n">
        <v>24998</v>
      </c>
      <c r="G5" s="7" t="inlineStr">
        <is>
          <t>CarMax</t>
        </is>
      </c>
      <c r="H5" s="12">
        <f>F5-IF(E5&gt;0,E5,D5)</f>
        <v/>
      </c>
      <c r="I5" s="7" t="inlineStr"/>
      <c r="J5" s="6" t="n">
        <v>9</v>
      </c>
    </row>
    <row r="6">
      <c r="B6" s="8" t="n">
        <v>2021</v>
      </c>
      <c r="C6" s="7" t="inlineStr">
        <is>
          <t>Carbon Edition</t>
        </is>
      </c>
      <c r="D6" s="9" t="n">
        <v>21100</v>
      </c>
      <c r="E6" s="9" t="n">
        <v>28678</v>
      </c>
      <c r="F6" s="9" t="n"/>
      <c r="G6" s="7" t="n"/>
      <c r="H6" s="12" t="n"/>
      <c r="I6" s="7" t="inlineStr"/>
      <c r="J6" s="6" t="n">
        <v>0</v>
      </c>
    </row>
    <row r="7">
      <c r="B7" s="8" t="n">
        <v>2021</v>
      </c>
      <c r="C7" s="7" t="inlineStr">
        <is>
          <t>Carbon Ed Turbo</t>
        </is>
      </c>
      <c r="D7" s="9" t="n">
        <v>21700</v>
      </c>
      <c r="E7" s="9" t="n"/>
      <c r="F7" s="9" t="n">
        <v>25198</v>
      </c>
      <c r="G7" s="7" t="inlineStr">
        <is>
          <t>#6</t>
        </is>
      </c>
      <c r="H7" s="12">
        <f>F7-IF(E7&gt;0,E7,D7)</f>
        <v/>
      </c>
      <c r="I7" s="7" t="inlineStr">
        <is>
          <t>yes</t>
        </is>
      </c>
      <c r="J7" s="6" t="n">
        <v>4</v>
      </c>
    </row>
    <row r="8">
      <c r="B8" s="8" t="n">
        <v>2021</v>
      </c>
      <c r="C8" s="7" t="inlineStr">
        <is>
          <t>GT Reserve (turbo)</t>
        </is>
      </c>
      <c r="D8" s="9" t="n">
        <v>21800</v>
      </c>
      <c r="E8" s="9" t="n">
        <v>27770</v>
      </c>
      <c r="F8" s="9" t="n">
        <v>25998</v>
      </c>
      <c r="G8" s="7" t="inlineStr">
        <is>
          <t>CarMax</t>
        </is>
      </c>
      <c r="H8" s="12">
        <f>F8-IF(E8&gt;0,E8,D8)</f>
        <v/>
      </c>
      <c r="I8" s="7" t="inlineStr"/>
      <c r="J8" s="6" t="n">
        <v>1</v>
      </c>
    </row>
    <row r="9">
      <c r="B9" s="8" t="n">
        <v>2021</v>
      </c>
      <c r="C9" s="7" t="inlineStr">
        <is>
          <t>Signature (turbo)</t>
        </is>
      </c>
      <c r="D9" s="9" t="n">
        <v>21700</v>
      </c>
      <c r="E9" s="9" t="n">
        <v>25041</v>
      </c>
      <c r="F9" s="9" t="n">
        <v>25999</v>
      </c>
      <c r="G9" s="7" t="inlineStr">
        <is>
          <t>#21</t>
        </is>
      </c>
      <c r="H9" s="12">
        <f>F9-IF(E9&gt;0,E9,D9)</f>
        <v/>
      </c>
      <c r="I9" s="7" t="inlineStr"/>
      <c r="J9" s="6" t="n">
        <v>3</v>
      </c>
    </row>
    <row r="10">
      <c r="B10" s="8" t="n">
        <v>2022</v>
      </c>
      <c r="C10" s="7" t="inlineStr">
        <is>
          <t>2.5 S Preferred</t>
        </is>
      </c>
      <c r="D10" s="9" t="n">
        <v>21800</v>
      </c>
      <c r="E10" s="9" t="n"/>
      <c r="F10" s="9" t="n">
        <v>26219</v>
      </c>
      <c r="G10" s="7" t="inlineStr">
        <is>
          <t>CarGurus</t>
        </is>
      </c>
      <c r="H10" s="12">
        <f>F10-IF(E10&gt;0,E10,D10)</f>
        <v/>
      </c>
      <c r="I10" s="7" t="inlineStr">
        <is>
          <t>yes</t>
        </is>
      </c>
      <c r="J10" s="6" t="n">
        <v>2</v>
      </c>
    </row>
    <row r="11">
      <c r="B11" s="8" t="n">
        <v>2022</v>
      </c>
      <c r="C11" s="7" t="inlineStr">
        <is>
          <t>2.5 S Premium</t>
        </is>
      </c>
      <c r="D11" s="9" t="n">
        <v>22500</v>
      </c>
      <c r="E11" s="9" t="n"/>
      <c r="F11" s="9" t="n">
        <v>26998</v>
      </c>
      <c r="G11" s="7" t="inlineStr">
        <is>
          <t>CarMax</t>
        </is>
      </c>
      <c r="H11" s="12">
        <f>F11-IF(E11&gt;0,E11,D11)</f>
        <v/>
      </c>
      <c r="I11" s="7" t="inlineStr">
        <is>
          <t>yes</t>
        </is>
      </c>
      <c r="J11" s="6" t="n">
        <v>2</v>
      </c>
    </row>
    <row r="12">
      <c r="B12" s="8" t="n">
        <v>2022</v>
      </c>
      <c r="C12" s="7" t="inlineStr">
        <is>
          <t>2.5 S Premium Plus</t>
        </is>
      </c>
      <c r="D12" s="9" t="n">
        <v>23200</v>
      </c>
      <c r="E12" s="9" t="n">
        <v>27000</v>
      </c>
      <c r="F12" s="9" t="n">
        <v>25998</v>
      </c>
      <c r="G12" s="7" t="inlineStr">
        <is>
          <t>CarMax</t>
        </is>
      </c>
      <c r="H12" s="12">
        <f>F12-IF(E12&gt;0,E12,D12)</f>
        <v/>
      </c>
      <c r="I12" s="7" t="inlineStr"/>
      <c r="J12" s="6" t="n">
        <v>2</v>
      </c>
    </row>
    <row r="13">
      <c r="B13" s="8" t="n">
        <v>2022</v>
      </c>
      <c r="C13" s="7" t="inlineStr">
        <is>
          <t>2.5 S Carbon Edition</t>
        </is>
      </c>
      <c r="D13" s="9" t="n">
        <v>22900</v>
      </c>
      <c r="E13" s="9" t="n">
        <v>25934</v>
      </c>
      <c r="F13" s="9" t="n">
        <v>25998</v>
      </c>
      <c r="G13" s="7" t="inlineStr">
        <is>
          <t>CarMax</t>
        </is>
      </c>
      <c r="H13" s="12">
        <f>F13-IF(E13&gt;0,E13,D13)</f>
        <v/>
      </c>
      <c r="I13" s="7" t="inlineStr"/>
      <c r="J13" s="6" t="n">
        <v>8</v>
      </c>
    </row>
    <row r="14">
      <c r="B14" s="8" t="n">
        <v>2022</v>
      </c>
      <c r="C14" s="7" t="inlineStr">
        <is>
          <t>2.5 Turbo</t>
        </is>
      </c>
      <c r="D14" s="9" t="n">
        <v>22900</v>
      </c>
      <c r="E14" s="9" t="n">
        <v>27370</v>
      </c>
      <c r="F14" s="9" t="n">
        <v>25998</v>
      </c>
      <c r="G14" s="7" t="inlineStr">
        <is>
          <t>CarMax</t>
        </is>
      </c>
      <c r="H14" s="12">
        <f>F14-IF(E14&gt;0,E14,D14)</f>
        <v/>
      </c>
      <c r="I14" s="7" t="inlineStr"/>
      <c r="J14" s="6" t="n">
        <v>1</v>
      </c>
    </row>
    <row r="15">
      <c r="B15" s="8" t="n">
        <v>2023</v>
      </c>
      <c r="C15" s="7" t="inlineStr">
        <is>
          <t>2.5 S Preferred</t>
        </is>
      </c>
      <c r="D15" s="9" t="n">
        <v>23400</v>
      </c>
      <c r="E15" s="9" t="n"/>
      <c r="F15" s="9" t="n">
        <v>24095</v>
      </c>
      <c r="G15" s="7" t="inlineStr">
        <is>
          <t>#10</t>
        </is>
      </c>
      <c r="H15" s="12">
        <f>F15-IF(E15&gt;0,E15,D15)</f>
        <v/>
      </c>
      <c r="I15" s="7" t="inlineStr">
        <is>
          <t>yes</t>
        </is>
      </c>
      <c r="J15" s="6" t="n">
        <v>11</v>
      </c>
    </row>
    <row r="16">
      <c r="B16" s="8" t="n">
        <v>2023</v>
      </c>
      <c r="C16" s="7" t="inlineStr">
        <is>
          <t>2.5 S Premium</t>
        </is>
      </c>
      <c r="D16" s="9" t="n">
        <v>24500</v>
      </c>
      <c r="E16" s="9" t="n">
        <v>27825</v>
      </c>
      <c r="F16" s="9" t="n">
        <v>25998</v>
      </c>
      <c r="G16" s="7" t="inlineStr">
        <is>
          <t>CarMax</t>
        </is>
      </c>
      <c r="H16" s="12">
        <f>F16-IF(E16&gt;0,E16,D16)</f>
        <v/>
      </c>
      <c r="I16" s="7" t="inlineStr"/>
      <c r="J16" s="6" t="n">
        <v>6</v>
      </c>
    </row>
    <row r="17">
      <c r="B17" s="8" t="n">
        <v>2023</v>
      </c>
      <c r="C17" s="7" t="inlineStr">
        <is>
          <t>2.5 S Premium Plus</t>
        </is>
      </c>
      <c r="D17" s="9" t="n">
        <v>26100</v>
      </c>
      <c r="E17" s="9" t="n">
        <v>30161</v>
      </c>
      <c r="F17" s="9" t="n">
        <v>28915</v>
      </c>
      <c r="G17" s="7" t="inlineStr">
        <is>
          <t>CarGurus</t>
        </is>
      </c>
      <c r="H17" s="12">
        <f>F17-IF(E17&gt;0,E17,D17)</f>
        <v/>
      </c>
      <c r="I17" s="7" t="inlineStr"/>
      <c r="J17" s="6" t="n">
        <v>2</v>
      </c>
    </row>
    <row r="18">
      <c r="B18" s="8" t="n">
        <v>2023</v>
      </c>
      <c r="C18" s="7" t="inlineStr">
        <is>
          <t>2.5 S Carbon Edition</t>
        </is>
      </c>
      <c r="D18" s="9" t="n">
        <v>24600</v>
      </c>
      <c r="E18" s="9" t="n">
        <v>27373</v>
      </c>
      <c r="F18" s="9" t="n">
        <v>25998</v>
      </c>
      <c r="G18" s="7" t="inlineStr">
        <is>
          <t>CarMax</t>
        </is>
      </c>
      <c r="H18" s="12">
        <f>F18-IF(E18&gt;0,E18,D18)</f>
        <v/>
      </c>
      <c r="I18" s="7" t="inlineStr"/>
      <c r="J18" s="6" t="n">
        <v>9</v>
      </c>
    </row>
    <row r="19">
      <c r="B19" s="8" t="n">
        <v>2023</v>
      </c>
      <c r="C19" s="7" t="inlineStr">
        <is>
          <t>2.5 Turbo</t>
        </is>
      </c>
      <c r="D19" s="9" t="n">
        <v>25900</v>
      </c>
      <c r="E19" s="9" t="n">
        <v>30980</v>
      </c>
      <c r="F19" s="9" t="n">
        <v>28199</v>
      </c>
      <c r="G19" s="7" t="inlineStr">
        <is>
          <t>#1</t>
        </is>
      </c>
      <c r="H19" s="12">
        <f>F19-IF(E19&gt;0,E19,D19)</f>
        <v/>
      </c>
      <c r="I19" s="7" t="inlineStr"/>
      <c r="J19" s="6" t="n">
        <v>2</v>
      </c>
    </row>
    <row r="21">
      <c r="B21" s="16" t="inlineStr">
        <is>
          <t>¹ Seattle FPP = mean of per-listing kbbFppAmount from KBB search results (n=1–5 per cell).</t>
        </is>
      </c>
    </row>
    <row r="22">
      <c r="B22" s="16" t="inlineStr">
        <is>
          <t>² No Seattle FPP for this cell; Δ shown vs national — national is systematically ~$3–5k low (default-zip, higher-mileage assumption), so treat these as “at market,” not overpriced.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6046"/>
    <outlinePr summaryBelow="1" summaryRight="1"/>
    <pageSetUpPr/>
  </sheetPr>
  <dimension ref="B1:O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6" customWidth="1" min="2" max="2"/>
    <col width="20" customWidth="1" min="3" max="3"/>
    <col width="12" customWidth="1" min="4" max="4"/>
    <col width="100" customWidth="1" min="5" max="5"/>
  </cols>
  <sheetData>
    <row r="1">
      <c r="B1" s="1" t="inlineStr">
        <is>
          <t>Sources &amp; method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5" t="inlineStr">
        <is>
          <t>Source</t>
        </is>
      </c>
      <c r="C3" s="5" t="inlineStr">
        <is>
          <t>Status</t>
        </is>
      </c>
      <c r="D3" s="5" t="inlineStr">
        <is>
          <t>Pulled (Aug 7)</t>
        </is>
      </c>
      <c r="E3" s="5" t="inlineStr">
        <is>
          <t>What it added</t>
        </is>
      </c>
    </row>
    <row r="4">
      <c r="B4" s="7" t="inlineStr">
        <is>
          <t>AutoTempest</t>
        </is>
      </c>
      <c r="C4" s="7" t="inlineStr">
        <is>
          <t>ok</t>
        </is>
      </c>
      <c r="D4" s="27" t="n">
        <v>77</v>
      </c>
      <c r="E4" s="3" t="inlineStr">
        <is>
          <t>Aggregator seed — Cars.com / CarGurus / TrueCar / Carvana / CarSoup / AutoByTel VINs in one shot</t>
        </is>
      </c>
    </row>
    <row r="5">
      <c r="B5" s="7" t="inlineStr">
        <is>
          <t>CarGurus</t>
        </is>
      </c>
      <c r="C5" s="7" t="inlineStr">
        <is>
          <t>ok (VDPs only)</t>
        </is>
      </c>
      <c r="D5" s="27" t="n">
        <v>41</v>
      </c>
      <c r="E5" s="3" t="inlineStr">
        <is>
          <t>Richest per-car data: accidents, owners, CPO, photo count, days-on-lot, $-below-market. Search page is DataDome-blocked; detail pages fetched via AutoTempest listing IDs</t>
        </is>
      </c>
    </row>
    <row r="6">
      <c r="B6" s="7" t="inlineStr">
        <is>
          <t>CarMax</t>
        </is>
      </c>
      <c r="C6" s="7" t="inlineStr">
        <is>
          <t>ok</t>
        </is>
      </c>
      <c r="D6" s="27" t="n">
        <v>72</v>
      </c>
      <c r="E6" s="3" t="inlineStr">
        <is>
          <t>National no-haggle floor via /cars/api/search/run JSON API. Transfer fees per unit</t>
        </is>
      </c>
    </row>
    <row r="7">
      <c r="B7" s="7" t="inlineStr">
        <is>
          <t>Carvana</t>
        </is>
      </c>
      <c r="C7" s="7" t="inlineStr">
        <is>
          <t>blocked (fallback ok)</t>
        </is>
      </c>
      <c r="D7" s="27" t="n">
        <v>10</v>
      </c>
      <c r="E7" s="3" t="inlineStr">
        <is>
          <t>Cloudflare Turnstile on carvana.com; 10 listings recovered via AutoTempest</t>
        </is>
      </c>
    </row>
    <row r="8">
      <c r="B8" s="7" t="inlineStr">
        <is>
          <t>KBB</t>
        </is>
      </c>
      <c r="C8" s="7" t="inlineStr">
        <is>
          <t>ok</t>
        </is>
      </c>
      <c r="D8" s="27" t="n">
        <v>47</v>
      </c>
      <c r="E8" s="3" t="inlineStr">
        <is>
          <t>Round-2 win. Per-listing KBB Fair Purchase Price + delta, price-drop history, AutoCheck vhrPreview (accidents / 1-owner), CPO flag. Cox backend = Autotrader inventory</t>
        </is>
      </c>
    </row>
    <row r="9">
      <c r="B9" s="7" t="inlineStr">
        <is>
          <t>iSeeCars</t>
        </is>
      </c>
      <c r="C9" s="7" t="inlineStr">
        <is>
          <t>ok</t>
        </is>
      </c>
      <c r="D9" s="27" t="n">
        <v>20</v>
      </c>
      <c r="E9" s="3" t="inlineStr">
        <is>
          <t>Price/miles only (no VIN on search page). 15/20 soft-matched to existing VINs — confirmed cross-listing, no net-new inventory</t>
        </is>
      </c>
    </row>
    <row r="10">
      <c r="B10" s="7" t="inlineStr">
        <is>
          <t>Craigslist</t>
        </is>
      </c>
      <c r="C10" s="7" t="inlineStr">
        <is>
          <t>ok</t>
        </is>
      </c>
      <c r="D10" s="27" t="n">
        <v>11</v>
      </c>
      <c r="E10" s="3" t="inlineStr">
        <is>
          <t>All dealer reposts (Royal Moore, Mazda of Gladstone, Ron Tonkin). No private-party CX-5s in range. No VINs on search page</t>
        </is>
      </c>
    </row>
    <row r="11">
      <c r="B11" s="7" t="inlineStr">
        <is>
          <t>Autotrader</t>
        </is>
      </c>
      <c r="C11" s="7" t="inlineStr">
        <is>
          <t>blocked</t>
        </is>
      </c>
      <c r="D11" s="27" t="n">
        <v>0</v>
      </c>
      <c r="E11" s="3" t="inlineStr">
        <is>
          <t>Akamai bot-block (headful too). Same Cox inventory as KBB — covered</t>
        </is>
      </c>
    </row>
    <row r="12">
      <c r="B12" s="7" t="inlineStr">
        <is>
          <t>Edmunds</t>
        </is>
      </c>
      <c r="C12" s="7" t="inlineStr">
        <is>
          <t>blocked</t>
        </is>
      </c>
      <c r="D12" s="27" t="n">
        <v>0</v>
      </c>
      <c r="E12" s="3" t="inlineStr">
        <is>
          <t>403 edge/WAF, IP-based. Tried headless, headful, direct API</t>
        </is>
      </c>
    </row>
    <row r="13">
      <c r="B13" s="7" t="inlineStr">
        <is>
          <t>Cars.com (VDPs)</t>
        </is>
      </c>
      <c r="C13" s="7" t="inlineStr">
        <is>
          <t>blocked</t>
        </is>
      </c>
      <c r="D13" s="27" t="n">
        <v>0</v>
      </c>
      <c r="E13" s="3" t="inlineStr">
        <is>
          <t>Cloudflare challenge on detail pages. Search-page data via AutoTempest is fine (18 listings)</t>
        </is>
      </c>
    </row>
    <row r="14">
      <c r="B14" s="7" t="inlineStr">
        <is>
          <t>TrueCar</t>
        </is>
      </c>
      <c r="C14" s="7" t="inlineStr">
        <is>
          <t>blocked</t>
        </is>
      </c>
      <c r="D14" s="27" t="n">
        <v>0</v>
      </c>
      <c r="E14" s="3" t="inlineStr">
        <is>
          <t>PerimeterX captcha. 5 listings recovered via AutoTempest</t>
        </is>
      </c>
    </row>
    <row r="15">
      <c r="B15" s="7" t="inlineStr">
        <is>
          <t>CarFax</t>
        </is>
      </c>
      <c r="C15" s="7" t="inlineStr">
        <is>
          <t>blocked</t>
        </is>
      </c>
      <c r="D15" s="27" t="n">
        <v>0</v>
      </c>
      <c r="E15" s="3" t="inlineStr">
        <is>
          <t>DataDome captcha (captcha-delivery.com)</t>
        </is>
      </c>
    </row>
    <row r="16">
      <c r="B16" s="7" t="inlineStr">
        <is>
          <t>FB Marketplace</t>
        </is>
      </c>
      <c r="C16" s="7" t="inlineStr">
        <is>
          <t>blocked</t>
        </is>
      </c>
      <c r="D16" s="27" t="n">
        <v>0</v>
      </c>
      <c r="E16" s="3" t="inlineStr">
        <is>
          <t>Login wall — skipped per read-only rule</t>
        </is>
      </c>
    </row>
    <row r="18">
      <c r="B18" s="4" t="inlineStr">
        <is>
          <t>Re-check sweeps</t>
        </is>
      </c>
    </row>
    <row r="19">
      <c r="B19" s="7" t="inlineStr">
        <is>
          <t>Aug 12, 2026: read-only datacenter sweep. Read-only datacenter sweep: AutoTempest results page, CarGurus VDP JSON for every CG id (board + feed), KBB SRP __NEXT_DATA__ (2 pages) + KBB VDPs for board/Autotrader ids, CarMax /cars/api/search/run, Craigslist SRP, one dealer VDP GET (#4). No forms, no availability clicks. Dealer comms logged in the repo take precedence over listing state.</t>
        </is>
      </c>
    </row>
    <row r="20">
      <c r="B20" s="7" t="inlineStr">
        <is>
          <t>Aug 11, 2026: live re-check in the buyer’s own browser + WA-first re-scan. Live page loads in Evan's own Chrome (residential IP): CarGurus VDP rendered text, KBB VDP, Cars.com VDP/SRP, CarMax VDP, Autotrader SRP, dealer own-site VDP/inventory search. Read-only; no forms touched, no logins.</t>
        </is>
      </c>
    </row>
    <row r="22">
      <c r="B22" s="3" t="inlineStr">
        <is>
          <t>Honest read: the proxy IP is on Akamai / Cloudflare / DataDome / PerimeterX blocklists, so 6 of 13 direct sources are unreachable. But the blocks cost almost nothing: Autotrader = KBB inventory (got it), TrueCar / Cars.com = AutoTempest feed (got it), CarFax listings = mostly CarGurus overlap. Net-new inventory from round 2 is ~22 cars (KBB-only VINs); everything else was already in round 1 under a different badge.</t>
        </is>
      </c>
    </row>
    <row r="23">
      <c r="B23" s="3" t="inlineStr">
        <is>
          <t>Dedupe: 278 raw → 153 unique VINs (VIN-matched) + 10 no-VIN orphans. 21 no-VIN records soft-matched to existing VINs by (year, ±1k mi, ±$250) and folded in as “also on” tags.</t>
        </is>
      </c>
    </row>
    <row r="24">
      <c r="B24" s="3" t="inlineStr">
        <is>
          <t>Disqualify: any reported accident, fleet / rental prior use, lemon or frame-damage flag, fewer than 6 photos (where photo count is known), missing VIN (unless Craigslist / iSeeCars-flagged), missing price or miles.</t>
        </is>
      </c>
    </row>
    <row r="25">
      <c r="B25" s="3" t="inlineStr">
        <is>
          <t>Trim: unwanted trims (Sport, Select, base 2.5 S) dropped unless priced more than $3k under the year average.</t>
        </is>
      </c>
    </row>
    <row r="26">
      <c r="B26" s="3" t="inlineStr">
        <is>
          <t>Rank: deal rating / KBB FPP delta → $ below market → 1-owner → CPO → miles per dollar; at least 3 non-CarGurus sources and all 3 model years enforced on the shortlist.</t>
        </is>
      </c>
    </row>
    <row r="27">
      <c r="B27" s="3" t="inlineStr">
        <is>
          <t>NHTSA recalls: 0 open campaigns for MY2021–2023 CX-5 (checked 8/7/26). Verify by VIN at nhtsa.gov/recalls before purchase.</t>
        </is>
      </c>
    </row>
    <row r="28">
      <c r="B28" s="3" t="inlineStr">
        <is>
          <t>Merge: 278 raw records (R1 200 + R2 78) → 153 unique VINs by exact VIN match; 21 no-VIN records soft-matched by (year, ±1k mi, ±$250); 10 no-VIN orphans retained (Craigslist / iSeeCars). Per-source primary contribution after dedupe: CarMax 68, CarGurus 41, KBB 22, Carvana 10, Cars.com 7, iSeeCars 5 orphan, Craigslist 5 orphan, TrueCar 2, CarSoup 2, AutoByTel 1.</t>
        </is>
      </c>
    </row>
    <row r="29">
      <c r="B29" s="3" t="inlineStr">
        <is>
          <t>KBB national FPP is default-zip (75201) at “typical” mileage — reads ~$3–5k below Seattle retail across the board. Use the Seattle-derived FPP column for delta math.</t>
        </is>
      </c>
    </row>
    <row r="30">
      <c r="B30" s="3" t="inlineStr">
        <is>
          <t>#6 KBB record has null kbbFpp (delta shows as −$25,198 in raw data — artifact, ignored).</t>
        </is>
      </c>
    </row>
    <row r="31">
      <c r="B31" s="3" t="inlineStr">
        <is>
          <t>CarMax pick #11: priorUse=[] (no fleet flag); CarMax history report available on the vehicle page.</t>
        </is>
      </c>
    </row>
    <row r="32">
      <c r="B32" s="3" t="inlineStr">
        <is>
          <t>iSeeCars adds no VINs and no history data — useful only as a cross-listing signal. Craigslist yielded zero private-party sellers in this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2026-08-12T01:02:16Z</dcterms:created>
  <dcterms:modified xmlns:dcterms="http://purl.org/dc/terms/" xmlns:xsi="http://www.w3.org/2001/XMLSchema-instance" xsi:type="dcterms:W3CDTF">2026-08-12T01:02:16Z</dcterms:modified>
</cp:coreProperties>
</file>