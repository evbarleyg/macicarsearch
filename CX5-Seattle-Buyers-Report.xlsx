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oard" sheetId="2" state="visible" r:id="rId2"/>
    <sheet xmlns:r="http://schemas.openxmlformats.org/officeDocument/2006/relationships" name="Quotes" sheetId="3" state="visible" r:id="rId3"/>
    <sheet xmlns:r="http://schemas.openxmlformats.org/officeDocument/2006/relationships" name="Monthly cost" sheetId="4" state="visible" r:id="rId4"/>
    <sheet xmlns:r="http://schemas.openxmlformats.org/officeDocument/2006/relationships" name="Sold-removed" sheetId="5" state="visible" r:id="rId5"/>
    <sheet xmlns:r="http://schemas.openxmlformats.org/officeDocument/2006/relationships" name="Watchlist" sheetId="6" state="visible" r:id="rId6"/>
    <sheet xmlns:r="http://schemas.openxmlformats.org/officeDocument/2006/relationships" name="Trim values" sheetId="7" state="visible" r:id="rId7"/>
    <sheet xmlns:r="http://schemas.openxmlformats.org/officeDocument/2006/relationships" name="Sources" sheetId="8" state="visible" r:id="rId8"/>
  </sheets>
  <definedNames/>
  <calcPr calcId="124519" fullCalcOnLoad="1"/>
</workbook>
</file>

<file path=xl/styles.xml><?xml version="1.0" encoding="utf-8"?>
<styleSheet xmlns="http://schemas.openxmlformats.org/spreadsheetml/2006/main">
  <numFmts count="4">
    <numFmt numFmtId="164" formatCode="#,##0_);(#,##0);&quot;-&quot;_)"/>
    <numFmt numFmtId="165" formatCode="$#,##0_);($#,##0);&quot;-&quot;_)"/>
    <numFmt numFmtId="166" formatCode="0.00%_);(0.00%);&quot;-&quot;_)"/>
    <numFmt numFmtId="167" formatCode="$#,##0.00_);($#,##0.00);&quot;-&quot;_)"/>
  </numFmts>
  <fonts count="7">
    <font>
      <name val="Calibri"/>
      <family val="2"/>
      <color theme="1"/>
      <sz val="11"/>
      <scheme val="minor"/>
    </font>
    <font>
      <name val="Lora"/>
      <b val="1"/>
      <sz val="15"/>
    </font>
    <font>
      <name val="Lora"/>
      <sz val="10"/>
    </font>
    <font>
      <name val="Lora"/>
      <b val="1"/>
      <sz val="10"/>
    </font>
    <font>
      <name val="Lora"/>
      <b val="1"/>
      <color rgb="00FFFFFF"/>
      <sz val="10"/>
    </font>
    <font>
      <name val="Lora"/>
      <color rgb="000000FF"/>
      <sz val="10"/>
    </font>
    <font>
      <name val="Lora"/>
      <color rgb="00B7B7B7"/>
      <sz val="10"/>
    </font>
  </fonts>
  <fills count="5">
    <fill>
      <patternFill/>
    </fill>
    <fill>
      <patternFill patternType="gray125"/>
    </fill>
    <fill>
      <patternFill patternType="solid">
        <fgColor rgb="00B86046"/>
      </patternFill>
    </fill>
    <fill>
      <patternFill patternType="solid">
        <fgColor rgb="00FFF2CC"/>
      </patternFill>
    </fill>
    <fill>
      <patternFill patternType="solid">
        <fgColor rgb="00EFEFEF"/>
      </patternFill>
    </fill>
  </fills>
  <borders count="4">
    <border>
      <left/>
      <right/>
      <top/>
      <bottom/>
      <diagonal/>
    </border>
    <border>
      <bottom style="medium"/>
    </border>
    <border>
      <left style="thin"/>
      <right style="thin"/>
      <top style="thin"/>
      <bottom style="thin"/>
    </border>
    <border>
      <top style="thin"/>
      <bottom style="thin"/>
    </border>
  </borders>
  <cellStyleXfs count="1">
    <xf numFmtId="0" fontId="0" fillId="0" borderId="0"/>
  </cellStyleXfs>
  <cellXfs count="31">
    <xf numFmtId="0" fontId="0" fillId="0" borderId="0" pivotButton="0" quotePrefix="0" xfId="0"/>
    <xf numFmtId="0" fontId="1" fillId="0" borderId="1" pivotButton="0" quotePrefix="0" xfId="0"/>
    <xf numFmtId="0" fontId="0" fillId="0" borderId="1"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164" fontId="2" fillId="0" borderId="0" pivotButton="0" quotePrefix="0" xfId="0"/>
    <xf numFmtId="0" fontId="2" fillId="0" borderId="0" pivotButton="0" quotePrefix="0" xfId="0"/>
    <xf numFmtId="1" fontId="2" fillId="0" borderId="0" pivotButton="0" quotePrefix="0" xfId="0"/>
    <xf numFmtId="165" fontId="5" fillId="0" borderId="0" pivotButton="0" quotePrefix="0" xfId="0"/>
    <xf numFmtId="166" fontId="5" fillId="0" borderId="0" pivotButton="0" quotePrefix="0" xfId="0"/>
    <xf numFmtId="166" fontId="5" fillId="3" borderId="2" pivotButton="0" quotePrefix="0" xfId="0"/>
    <xf numFmtId="167" fontId="2" fillId="0" borderId="0" pivotButton="0" quotePrefix="0" xfId="0"/>
    <xf numFmtId="0" fontId="5" fillId="3" borderId="2" pivotButton="0" quotePrefix="0" xfId="0"/>
    <xf numFmtId="0" fontId="6" fillId="0" borderId="0" pivotButton="0" quotePrefix="0" xfId="0"/>
    <xf numFmtId="165" fontId="5" fillId="3" borderId="2" pivotButton="0" quotePrefix="0" xfId="0"/>
    <xf numFmtId="165" fontId="2" fillId="0" borderId="0" pivotButton="0" quotePrefix="0" xfId="0"/>
    <xf numFmtId="167" fontId="5" fillId="0" borderId="0" pivotButton="0" quotePrefix="0" xfId="0"/>
    <xf numFmtId="164" fontId="2" fillId="4" borderId="0" pivotButton="0" quotePrefix="0" xfId="0"/>
    <xf numFmtId="0" fontId="2" fillId="4" borderId="0" pivotButton="0" quotePrefix="0" xfId="0"/>
    <xf numFmtId="165" fontId="5" fillId="4" borderId="0" pivotButton="0" quotePrefix="0" xfId="0"/>
    <xf numFmtId="166" fontId="5" fillId="4" borderId="0" pivotButton="0" quotePrefix="0" xfId="0"/>
    <xf numFmtId="165" fontId="2" fillId="4" borderId="0" pivotButton="0" quotePrefix="0" xfId="0"/>
    <xf numFmtId="167" fontId="5" fillId="4" borderId="0" pivotButton="0" quotePrefix="0" xfId="0"/>
    <xf numFmtId="167" fontId="2" fillId="4" borderId="0" pivotButton="0" quotePrefix="0" xfId="0"/>
    <xf numFmtId="0" fontId="3" fillId="0" borderId="3" pivotButton="0" quotePrefix="0" xfId="0"/>
    <xf numFmtId="165" fontId="3" fillId="0" borderId="3" pivotButton="0" quotePrefix="0" xfId="0"/>
    <xf numFmtId="0" fontId="3" fillId="4" borderId="0" pivotButton="0" quotePrefix="0" xfId="0"/>
    <xf numFmtId="0" fontId="0" fillId="4" borderId="0" pivotButton="0" quotePrefix="0" xfId="0"/>
    <xf numFmtId="0"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0000"/>
    <outlinePr summaryBelow="1" summaryRight="1"/>
    <pageSetUpPr/>
  </sheetPr>
  <dimension ref="B1:O28"/>
  <sheetViews>
    <sheetView showGridLines="0" workbookViewId="0">
      <selection activeCell="A1" sqref="A1"/>
    </sheetView>
  </sheetViews>
  <sheetFormatPr baseColWidth="8" defaultRowHeight="15"/>
  <cols>
    <col width="3.5" customWidth="1" min="1" max="1"/>
    <col width="120" customWidth="1" min="2" max="2"/>
  </cols>
  <sheetData>
    <row r="1">
      <c r="B1" s="1" t="inlineStr">
        <is>
          <t>CX-5 Seattle Buyer's Report — workbook</t>
        </is>
      </c>
      <c r="C1" s="2" t="n"/>
      <c r="D1" s="2" t="n"/>
      <c r="E1" s="2" t="n"/>
      <c r="F1" s="2" t="n"/>
      <c r="G1" s="2" t="n"/>
      <c r="H1" s="2" t="n"/>
      <c r="I1" s="2" t="n"/>
      <c r="J1" s="2" t="n"/>
      <c r="K1" s="2" t="n"/>
      <c r="L1" s="2" t="n"/>
      <c r="M1" s="2" t="n"/>
      <c r="N1" s="2" t="n"/>
      <c r="O1" s="2" t="n"/>
    </row>
    <row r="3">
      <c r="B3" s="3" t="inlineStr">
        <is>
          <t>Published Aug 7, 2026; refreshed Aug 14, 2026. Generated from data/board.json by tools/build_site.py — same rows as the web page.</t>
        </is>
      </c>
    </row>
    <row r="4">
      <c r="B4" s="3" t="inlineStr">
        <is>
          <t>15 cars in play (14 live + benchmark), 6 sold since publication, 7 written quotes in hand.</t>
        </is>
      </c>
    </row>
    <row r="5">
      <c r="B5" s="3" t="inlineStr">
        <is>
          <t>Tabs: Board (live cars) · Quotes (every written quote, line items, counter, gap) · Monthly cost (blue inputs, live PMT formulas) · Sold-removed · Watchlist · Trim values · Sources.</t>
        </is>
      </c>
    </row>
    <row r="6">
      <c r="B6" s="3" t="inlineStr">
        <is>
          <t>Font colours: blue = hard-coded input from a source (listing, dealer sheet, DOR rate); black = computed. Change the blue APR / term / down-payment drivers on Monthly cost and every payment recomputes.</t>
        </is>
      </c>
    </row>
    <row r="7">
      <c r="B7" s="3" t="inlineStr">
        <is>
          <t>Cheapest solid = lowest estimated out-the-door figure among live cars with a verified 1-owner / 0-accident history (or Mazda CPO) at a franchise dealer. Stretch = best-value live 2023 in the Turbo / Premium tiers, ranked by list price against KBB Seattle fair purchase price.</t>
        </is>
      </c>
    </row>
    <row r="8">
      <c r="B8" s="3" t="inlineStr">
        <is>
          <t>WA-dealer sales are taxed at the dealer's city rate (DOR Q3-2026 combined rate + 0.5% motor-vehicle tax: 9.1–11.2% around Puget Sound), so a Kirkland or Puyallup dealer runs ~0.25 pt under Seattle and Burlington nearly 2 pt under; Oregon-dealer purchases owe 11.05% WA use tax at registration. Tax is applied to the vehicle price; the doc fee and licence estimate are added untaxed, which is how the written dealer sheets received so far are built. Earlier versions of this page used a flat 10.35%, which understated OTD by roughly $200–250.</t>
        </is>
      </c>
    </row>
    <row r="9">
      <c r="B9" s="3" t="inlineStr">
        <is>
          <t>Not affiliated with any dealer or listing site. Prices and availability change daily; verify history reports and the written OTD before purchase.</t>
        </is>
      </c>
    </row>
    <row r="11">
      <c r="B11" s="4" t="inlineStr">
        <is>
          <t>What changed</t>
        </is>
      </c>
    </row>
    <row r="12">
      <c r="B12" s="3" t="inlineStr">
        <is>
          <t>Aug 14, 2026: Puyallup Mazda: itemized worksheet received for the certified 2023 Carbon (#9); zero add-ons.</t>
        </is>
      </c>
    </row>
    <row r="13">
      <c r="B13" s="3" t="inlineStr">
        <is>
          <t>Aug 14, 2026: Titus-Will: dealer confirmed their best number and stood down; the Olympia car is off the weekend visit list.</t>
        </is>
      </c>
    </row>
    <row r="14">
      <c r="B14" s="3" t="inlineStr">
        <is>
          <t>Aug 13, 2026: Royal Moore: one 2023 Preferred sold per the dealer; the remaining one was requoted with the dealer-added items removed.</t>
        </is>
      </c>
    </row>
    <row r="15">
      <c r="B15" s="3" t="inlineStr">
        <is>
          <t>Aug 13, 2026: Puyallup Mazda: pricing breakdown received for the CPO 2023 Carbon (#9); worksheet attached in email.</t>
        </is>
      </c>
    </row>
    <row r="16">
      <c r="B16" s="3" t="inlineStr">
        <is>
          <t>Aug 13, 2026: Royal Moore: manager follow-up received Thu afternoon; reply prepared.</t>
        </is>
      </c>
    </row>
    <row r="17">
      <c r="B17" s="3" t="inlineStr">
        <is>
          <t>Aug 13, 2026: Hyundai of Kirkland: updated written proposal received midday; license-at-actuals refund and two keys confirmed in writing; window sticker check in progress.</t>
        </is>
      </c>
    </row>
    <row r="18">
      <c r="B18" s="3" t="inlineStr">
        <is>
          <t>Aug 12, 2026: Puyallup Mazda (#1, #6): written itemized quotes surfaced (sheets dated Aug 11 had landed in spam); zero add-ons on both. #9's breakdown requested.</t>
        </is>
      </c>
    </row>
    <row r="19">
      <c r="B19" s="3" t="inlineStr">
        <is>
          <t>Aug 12, 2026: Lee Johnson (#7, #12): both inquiry emails bounced back undelivered (dealer mail server unreachable); a new contact path is being arranged.</t>
        </is>
      </c>
    </row>
    <row r="20">
      <c r="B20" s="3" t="inlineStr">
        <is>
          <t>Aug 12, 2026: Fresh read-only sweep (AutoTempest, CarGurus, KBB, CarMax, Carvana, Craigslist: 386 raw / 223 VINs). Every live board car re-verified with no listed-price change; #12 (Cars.com-only) could not be re-checked from the sweep environment.</t>
        </is>
      </c>
    </row>
    <row r="21">
      <c r="B21" s="3" t="inlineStr">
        <is>
          <t>Aug 12, 2026: 26 VINs not seen before: 25 disqualified (unwanted trim, out-of-area no-haggle units no better than #15, no value signal), 1 added as #21 (2021 Signature, Burlington WA, $25,999 + $200).</t>
        </is>
      </c>
    </row>
    <row r="22">
      <c r="B22" s="3" t="inlineStr">
        <is>
          <t>Aug 12, 2026: Rodland (#14) pricing sheet transcribed: clean sheet, no add-ons; tax and licence lumped in one line, itemization requested.</t>
        </is>
      </c>
    </row>
    <row r="23">
      <c r="B23" s="3" t="inlineStr">
        <is>
          <t>Aug 12, 2026: Site now regenerates every section and download from one board file, so the cost table, compare box, calculator and top picks follow the live set (sold #3 dropped from the picks; quoted OTDs replace estimates where dealers have replied).</t>
        </is>
      </c>
    </row>
    <row r="24">
      <c r="B24" s="3" t="inlineStr">
        <is>
          <t>Aug 12, 2026: 2024 model-year sweep — no verified-clean, non-rental 2024 Preferred/Carbon/Premium under 40k mi lands at or below the finalists’ $28.7–32k est. OTD; three 2024s added to the watchlist (watch only, not numbered board cars).</t>
        </is>
      </c>
    </row>
    <row r="25">
      <c r="B25" s="3" t="inlineStr">
        <is>
          <t>Aug 11, 2026: Buyer outreach began: itemized-OTD requests to every live dealer; written numbers back from Kirkland (#5), Titus-Will (#13, revised), Auto 206 (#17), Rodland (#14) and Royal Moore (#8, add-ons to strike).</t>
        </is>
      </c>
    </row>
    <row r="26">
      <c r="B26" s="3" t="inlineStr">
        <is>
          <t>Aug 11, 2026: Sold and removed: #2 Acura of Seattle Turbo, #3 BMW Seattle GT Reserve (dealer-confirmed), #11 CarMax Sacramento, #16 Doug’s Lynnwood GT, #18 Auto Connections Bellevue. #1’s reported sale was wrong (live on CarGurus and Puyallup Mazda’s own site at $27,999).</t>
        </is>
      </c>
    </row>
    <row r="27">
      <c r="B27" s="3" t="inlineStr">
        <is>
          <t>Aug 11, 2026: Comfort-first re-rank and WA-first re-scan added #12–#20; tax model corrected to dealer-city rates (Seattle 11.05%) from the flat 10.35% used on Aug 7.</t>
        </is>
      </c>
    </row>
    <row r="28">
      <c r="B28" s="3" t="inlineStr">
        <is>
          <t>Aug 7, 2026: Initial read-only market scan: 278 raw listings → 153 unique VINs → 112 pass the disqualifiers; 11-car shortlist ranked by value.</t>
        </is>
      </c>
    </row>
  </sheetData>
  <pageMargins left="0.75" right="0.75" top="1" bottom="1" header="0.5" footer="0.5"/>
</worksheet>
</file>

<file path=xl/worksheets/sheet2.xml><?xml version="1.0" encoding="utf-8"?>
<worksheet xmlns="http://schemas.openxmlformats.org/spreadsheetml/2006/main">
  <sheetPr>
    <tabColor rgb="00B86046"/>
    <outlinePr summaryBelow="1" summaryRight="1"/>
    <pageSetUpPr/>
  </sheetPr>
  <dimension ref="B1:Y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10" customWidth="1" min="3" max="3"/>
    <col width="6" customWidth="1" min="4" max="4"/>
    <col width="28" customWidth="1" min="5" max="5"/>
    <col width="9" customWidth="1" min="6" max="6"/>
    <col width="9" customWidth="1" min="7" max="7"/>
    <col width="10" customWidth="1" min="8" max="8"/>
    <col width="12" customWidth="1" min="9" max="9"/>
    <col width="8" customWidth="1" min="10" max="10"/>
    <col width="26" customWidth="1" min="11" max="11"/>
    <col width="14" customWidth="1" min="12" max="12"/>
    <col width="8" customWidth="1" min="13" max="13"/>
    <col width="18" customWidth="1" min="14" max="14"/>
    <col width="12" customWidth="1" min="15" max="15"/>
    <col width="12" customWidth="1" min="16" max="16"/>
    <col width="6" customWidth="1" min="17" max="17"/>
    <col width="8" customWidth="1" min="18" max="18"/>
    <col width="11" customWidth="1" min="19" max="19"/>
    <col width="46" customWidth="1" min="20" max="20"/>
    <col width="20" customWidth="1" min="21" max="21"/>
    <col width="12" customWidth="1" min="22" max="22"/>
    <col width="8" customWidth="1" min="23" max="23"/>
    <col width="70" customWidth="1" min="24" max="24"/>
    <col width="60" customWidth="1" min="25" max="25"/>
  </cols>
  <sheetData>
    <row r="1">
      <c r="B1" s="1" t="inlineStr">
        <is>
          <t>Board — cars in play as of Aug 14, 2026 (sold cars on their own tab)</t>
        </is>
      </c>
      <c r="C1" s="2" t="n"/>
      <c r="D1" s="2" t="n"/>
      <c r="E1" s="2" t="n"/>
      <c r="F1" s="2" t="n"/>
      <c r="G1" s="2" t="n"/>
      <c r="H1" s="2" t="n"/>
      <c r="I1" s="2" t="n"/>
      <c r="J1" s="2" t="n"/>
      <c r="K1" s="2" t="n"/>
      <c r="L1" s="2" t="n"/>
      <c r="M1" s="2" t="n"/>
      <c r="N1" s="2" t="n"/>
      <c r="O1" s="2" t="n"/>
    </row>
    <row r="3">
      <c r="B3" s="5" t="inlineStr">
        <is>
          <t>#</t>
        </is>
      </c>
      <c r="C3" s="5" t="inlineStr">
        <is>
          <t>Status</t>
        </is>
      </c>
      <c r="D3" s="5" t="inlineStr">
        <is>
          <t>Year</t>
        </is>
      </c>
      <c r="E3" s="5" t="inlineStr">
        <is>
          <t>Trim</t>
        </is>
      </c>
      <c r="F3" s="5" t="inlineStr">
        <is>
          <t>Engine</t>
        </is>
      </c>
      <c r="G3" s="5" t="inlineStr">
        <is>
          <t>Miles</t>
        </is>
      </c>
      <c r="H3" s="5" t="inlineStr">
        <is>
          <t>Listed $</t>
        </is>
      </c>
      <c r="I3" s="5" t="inlineStr">
        <is>
          <t>Vehicle $ (pre-doc)</t>
        </is>
      </c>
      <c r="J3" s="5" t="inlineStr">
        <is>
          <t>Doc fee</t>
        </is>
      </c>
      <c r="K3" s="5" t="inlineStr">
        <is>
          <t>Dealer</t>
        </is>
      </c>
      <c r="L3" s="5" t="inlineStr">
        <is>
          <t>City</t>
        </is>
      </c>
      <c r="M3" s="5" t="inlineStr">
        <is>
          <t>Tax rate</t>
        </is>
      </c>
      <c r="N3" s="5" t="inlineStr">
        <is>
          <t>Deal</t>
        </is>
      </c>
      <c r="O3" s="5" t="inlineStr">
        <is>
          <t>KBB Seattle FPP</t>
        </is>
      </c>
      <c r="P3" s="5" t="inlineStr">
        <is>
          <t>History</t>
        </is>
      </c>
      <c r="Q3" s="5" t="inlineStr">
        <is>
          <t>CPO</t>
        </is>
      </c>
      <c r="R3" s="5" t="inlineStr">
        <is>
          <t>Days listed</t>
        </is>
      </c>
      <c r="S3" s="5" t="inlineStr">
        <is>
          <t>Source</t>
        </is>
      </c>
      <c r="T3" s="5" t="inlineStr">
        <is>
          <t>Listing URL</t>
        </is>
      </c>
      <c r="U3" s="5" t="inlineStr">
        <is>
          <t>VIN</t>
        </is>
      </c>
      <c r="V3" s="5" t="inlineStr">
        <is>
          <t>Stock</t>
        </is>
      </c>
      <c r="W3" s="5" t="inlineStr">
        <is>
          <t>Comfort rank</t>
        </is>
      </c>
      <c r="X3" s="5" t="inlineStr">
        <is>
          <t>Latest from dealer</t>
        </is>
      </c>
      <c r="Y3" s="5" t="inlineStr">
        <is>
          <t>Equipment</t>
        </is>
      </c>
    </row>
    <row r="4">
      <c r="B4" s="6" t="n">
        <v>1</v>
      </c>
      <c r="C4" s="7" t="inlineStr">
        <is>
          <t>live</t>
        </is>
      </c>
      <c r="D4" s="8" t="n">
        <v>2023</v>
      </c>
      <c r="E4" s="7" t="inlineStr">
        <is>
          <t>2.5 Turbo AWD</t>
        </is>
      </c>
      <c r="F4" s="7" t="inlineStr">
        <is>
          <t>2.5 Turbo</t>
        </is>
      </c>
      <c r="G4" s="6" t="n">
        <v>27990</v>
      </c>
      <c r="H4" s="9" t="n">
        <v>27919</v>
      </c>
      <c r="I4" s="9" t="n">
        <v>27719</v>
      </c>
      <c r="J4" s="9" t="n">
        <v>200</v>
      </c>
      <c r="K4" s="7" t="inlineStr">
        <is>
          <t>Puyallup Mazda</t>
        </is>
      </c>
      <c r="L4" s="7" t="inlineStr">
        <is>
          <t>Puyallup, WA</t>
        </is>
      </c>
      <c r="M4" s="10" t="n">
        <v>0.108</v>
      </c>
      <c r="N4" s="7" t="inlineStr">
        <is>
          <t>Great · $2,781 &lt; FPP</t>
        </is>
      </c>
      <c r="O4" s="9" t="n">
        <v>30980</v>
      </c>
      <c r="P4" s="7" t="inlineStr">
        <is>
          <t>1 owner · 0 accidents</t>
        </is>
      </c>
      <c r="Q4" s="7" t="inlineStr">
        <is>
          <t>No</t>
        </is>
      </c>
      <c r="R4" s="6" t="n">
        <v>89</v>
      </c>
      <c r="S4" s="7" t="inlineStr">
        <is>
          <t>CarGurus</t>
        </is>
      </c>
      <c r="T4" s="7" t="inlineStr">
        <is>
          <t>https://www.cargurus.com/Cars/listing/448185375</t>
        </is>
      </c>
      <c r="U4" s="7" t="inlineStr">
        <is>
          <t>JM3KFBAY3P0289626</t>
        </is>
      </c>
      <c r="V4" s="7" t="inlineStr">
        <is>
          <t>YW29065</t>
        </is>
      </c>
      <c r="W4" s="6" t="n">
        <v>9</v>
      </c>
      <c r="X4" s="3" t="inlineStr">
        <is>
          <t>Seen and driven Sat Aug 15. The original window sticker confirms the full comfort package including ventilated front seats, and the CARFAX shows one owner, a personal lease and no accidents.</t>
        </is>
      </c>
      <c r="Y4" s="3" t="inlineStr">
        <is>
          <t>Confirmed on the original window sticker: ventilated front seats, heated front and rear seats, heated steering wheel, Active Driving Display, wireless charger, power folding mirrors, Bose 10-speaker, driver seat memory, moonroof. 2.5 Turbo, 227 hp on 87 octane and 256 hp on 93.</t>
        </is>
      </c>
    </row>
    <row r="5">
      <c r="B5" s="6" t="n">
        <v>4</v>
      </c>
      <c r="C5" s="7" t="inlineStr">
        <is>
          <t>live</t>
        </is>
      </c>
      <c r="D5" s="8" t="n">
        <v>2021</v>
      </c>
      <c r="E5" s="7" t="inlineStr">
        <is>
          <t>Carbon Edition Turbo</t>
        </is>
      </c>
      <c r="F5" s="7" t="inlineStr">
        <is>
          <t>2.5 Turbo</t>
        </is>
      </c>
      <c r="G5" s="6" t="n">
        <v>34800</v>
      </c>
      <c r="H5" s="9" t="n">
        <v>26102</v>
      </c>
      <c r="I5" s="9" t="n">
        <v>25852</v>
      </c>
      <c r="J5" s="9" t="n">
        <v>250</v>
      </c>
      <c r="K5" s="7" t="inlineStr">
        <is>
          <t>Ron Tonkin Honda</t>
        </is>
      </c>
      <c r="L5" s="7" t="inlineStr">
        <is>
          <t>Portland, OR</t>
        </is>
      </c>
      <c r="M5" s="10" t="n">
        <v>0.1105</v>
      </c>
      <c r="N5" s="7" t="inlineStr">
        <is>
          <t>Great · $2,612 &lt; FPP</t>
        </is>
      </c>
      <c r="O5" s="9" t="n">
        <v>29374</v>
      </c>
      <c r="P5" s="7" t="inlineStr">
        <is>
          <t>1 owner · 0 accidents</t>
        </is>
      </c>
      <c r="Q5" s="7" t="inlineStr">
        <is>
          <t>No</t>
        </is>
      </c>
      <c r="R5" s="6" t="n">
        <v>64</v>
      </c>
      <c r="S5" s="7" t="inlineStr">
        <is>
          <t>KBB</t>
        </is>
      </c>
      <c r="T5" s="7" t="inlineStr">
        <is>
          <t>https://www.kbb.com/cars-for-sale/vehicle/782577606</t>
        </is>
      </c>
      <c r="U5" s="7" t="inlineStr">
        <is>
          <t>JM3KFBCYXM0385696</t>
        </is>
      </c>
      <c r="V5" s="7" t="inlineStr">
        <is>
          <t>UH1679</t>
        </is>
      </c>
      <c r="W5" s="6" t="n">
        <v>4</v>
      </c>
      <c r="X5" s="3" t="inlineStr">
        <is>
          <t>quote in preparation (Aug 11, 3:57 PM); our written-number request is with the dealer. Oregon: email-only leverage.</t>
        </is>
      </c>
      <c r="Y5" s="3" t="inlineStr">
        <is>
          <t>Carbon look, heated seats; turbo confirmed by the dealer.</t>
        </is>
      </c>
    </row>
    <row r="6">
      <c r="B6" s="6" t="n">
        <v>5</v>
      </c>
      <c r="C6" s="7" t="inlineStr">
        <is>
          <t>live</t>
        </is>
      </c>
      <c r="D6" s="8" t="n">
        <v>2021</v>
      </c>
      <c r="E6" s="7" t="inlineStr">
        <is>
          <t>Grand Touring AWD</t>
        </is>
      </c>
      <c r="F6" s="7" t="inlineStr">
        <is>
          <t>2.5</t>
        </is>
      </c>
      <c r="G6" s="6" t="n">
        <v>33336</v>
      </c>
      <c r="H6" s="9" t="n">
        <v>25192</v>
      </c>
      <c r="I6" s="9" t="n">
        <v>25192</v>
      </c>
      <c r="J6" s="9" t="n">
        <v>200</v>
      </c>
      <c r="K6" s="7" t="inlineStr">
        <is>
          <t>Hyundai of Kirkland / Ford of Kirkland</t>
        </is>
      </c>
      <c r="L6" s="7" t="inlineStr">
        <is>
          <t>Kirkland, WA</t>
        </is>
      </c>
      <c r="M6" s="10" t="n">
        <v>0.108</v>
      </c>
      <c r="N6" s="7" t="inlineStr">
        <is>
          <t>Good · $3,338 &lt; FPP</t>
        </is>
      </c>
      <c r="O6" s="9" t="n">
        <v>28530</v>
      </c>
      <c r="P6" s="7" t="inlineStr">
        <is>
          <t>1 owner · 1 accident</t>
        </is>
      </c>
      <c r="Q6" s="7" t="inlineStr">
        <is>
          <t>No</t>
        </is>
      </c>
      <c r="R6" s="6" t="n">
        <v>48</v>
      </c>
      <c r="S6" s="7" t="inlineStr">
        <is>
          <t>CarGurus</t>
        </is>
      </c>
      <c r="T6" s="7" t="inlineStr">
        <is>
          <t>https://www.cargurus.com/Cars/listing/451807182</t>
        </is>
      </c>
      <c r="U6" s="7" t="inlineStr">
        <is>
          <t>JM3KFBDM3M0301052</t>
        </is>
      </c>
      <c r="V6" s="7" t="inlineStr">
        <is>
          <t>O94564A</t>
        </is>
      </c>
      <c r="W6" s="6" t="n">
        <v>1</v>
      </c>
      <c r="X6" s="3" t="inlineStr">
        <is>
          <t>Seen in person Sat Aug 15. The GT Premium package is confirmed on the dealer window sheet. The car did not start during the visit, the dealer suspects the battery and took it into their shop, so no test drive happened. Price discussion continuing by phone.</t>
        </is>
      </c>
      <c r="Y6" s="3" t="inlineStr">
        <is>
          <t>Confirmed on the window sheet: ventilated front seats, heated rear seats, heated steering wheel, Active Driving Display, power folding mirrors, wiper de-icer. Leather, Bose, moonroof. Rear camera only.</t>
        </is>
      </c>
    </row>
    <row r="7">
      <c r="B7" s="6" t="n">
        <v>6</v>
      </c>
      <c r="C7" s="7" t="inlineStr">
        <is>
          <t>live</t>
        </is>
      </c>
      <c r="D7" s="8" t="n">
        <v>2021</v>
      </c>
      <c r="E7" s="7" t="inlineStr">
        <is>
          <t>Carbon Ed Turbo AWD</t>
        </is>
      </c>
      <c r="F7" s="7" t="inlineStr">
        <is>
          <t>2.5 Turbo</t>
        </is>
      </c>
      <c r="G7" s="6" t="n">
        <v>42515</v>
      </c>
      <c r="H7" s="9" t="n">
        <v>24948</v>
      </c>
      <c r="I7" s="9" t="n">
        <v>24748</v>
      </c>
      <c r="J7" s="9" t="n">
        <v>200</v>
      </c>
      <c r="K7" s="7" t="inlineStr">
        <is>
          <t>Puyallup Mazda</t>
        </is>
      </c>
      <c r="L7" s="7" t="inlineStr">
        <is>
          <t>Puyallup, WA</t>
        </is>
      </c>
      <c r="M7" s="10" t="n">
        <v>0.108</v>
      </c>
      <c r="N7" s="7" t="inlineStr">
        <is>
          <t>Great · $1,939 below</t>
        </is>
      </c>
      <c r="O7" s="9" t="n"/>
      <c r="P7" s="7" t="inlineStr">
        <is>
          <t>3 owners · 0 accidents</t>
        </is>
      </c>
      <c r="Q7" s="7" t="inlineStr">
        <is>
          <t>No</t>
        </is>
      </c>
      <c r="R7" s="6" t="n">
        <v>69</v>
      </c>
      <c r="S7" s="7" t="inlineStr">
        <is>
          <t>CarGurus</t>
        </is>
      </c>
      <c r="T7" s="7" t="inlineStr">
        <is>
          <t>https://www.cargurus.com/Cars/listing/449972241</t>
        </is>
      </c>
      <c r="U7" s="7" t="inlineStr">
        <is>
          <t>JM3KFBDYXM0120596</t>
        </is>
      </c>
      <c r="V7" s="7" t="inlineStr">
        <is>
          <t>YS29241</t>
        </is>
      </c>
      <c r="W7" s="6" t="n">
        <v>11</v>
      </c>
      <c r="X7" s="3" t="inlineStr">
        <is>
          <t>CARFAX read in full Sat Aug 15. A Canadian-market car with a Saskatchewan safety-inspection failure recorded 8/15/2025 and no repair record after it, imported to the United States in May 2026 and sold at auction in June. Removed from consideration.</t>
        </is>
      </c>
      <c r="Y7" s="3" t="inlineStr">
        <is>
          <t>Carbon look: Soul Red, black 19s, heated seats, turbo.</t>
        </is>
      </c>
    </row>
    <row r="8">
      <c r="B8" s="6" t="n">
        <v>7</v>
      </c>
      <c r="C8" s="7" t="inlineStr">
        <is>
          <t>live</t>
        </is>
      </c>
      <c r="D8" s="8" t="n">
        <v>2022</v>
      </c>
      <c r="E8" s="7" t="inlineStr">
        <is>
          <t>2.5 S Carbon Edition</t>
        </is>
      </c>
      <c r="F8" s="7" t="inlineStr">
        <is>
          <t>2.5</t>
        </is>
      </c>
      <c r="G8" s="6" t="n">
        <v>34749</v>
      </c>
      <c r="H8" s="9" t="n">
        <v>27512</v>
      </c>
      <c r="I8" s="9" t="n">
        <v>27512</v>
      </c>
      <c r="J8" s="9" t="n">
        <v>200</v>
      </c>
      <c r="K8" s="7" t="inlineStr">
        <is>
          <t>Lee Johnson Mazda of Seattle</t>
        </is>
      </c>
      <c r="L8" s="7" t="inlineStr">
        <is>
          <t>Seattle, WA</t>
        </is>
      </c>
      <c r="M8" s="10" t="n">
        <v>0.1105</v>
      </c>
      <c r="N8" s="7" t="inlineStr">
        <is>
          <t>Good · $349 below</t>
        </is>
      </c>
      <c r="O8" s="9" t="n">
        <v>27440</v>
      </c>
      <c r="P8" s="7" t="inlineStr">
        <is>
          <t>1 owner · 0 accidents</t>
        </is>
      </c>
      <c r="Q8" s="7" t="inlineStr">
        <is>
          <t>Yes</t>
        </is>
      </c>
      <c r="R8" s="6" t="n">
        <v>30</v>
      </c>
      <c r="S8" s="7" t="inlineStr">
        <is>
          <t>CarGurus</t>
        </is>
      </c>
      <c r="T8" s="7" t="inlineStr">
        <is>
          <t>https://www.cargurus.com/Cars/listing/453287059</t>
        </is>
      </c>
      <c r="U8" s="7" t="inlineStr">
        <is>
          <t>JM3KFBCM4N0546820</t>
        </is>
      </c>
      <c r="V8" s="7" t="inlineStr">
        <is>
          <t>U14590</t>
        </is>
      </c>
      <c r="W8" s="6" t="n">
        <v>8</v>
      </c>
      <c r="X8" s="3" t="inlineStr">
        <is>
          <t>two-car OTD request emailed Aug 11 — both emails to the dealer's listed sales address bounced back Aug 12 (server unreachable after 24h of retries) — the request never arrived; a new contact path is being arranged.</t>
        </is>
      </c>
      <c r="Y8" s="3" t="inlineStr">
        <is>
          <t>Red leather, heated fronts, moonroof, Mazda CPO warranty.</t>
        </is>
      </c>
    </row>
    <row r="9">
      <c r="B9" s="6" t="n">
        <v>9</v>
      </c>
      <c r="C9" s="7" t="inlineStr">
        <is>
          <t>live</t>
        </is>
      </c>
      <c r="D9" s="8" t="n">
        <v>2023</v>
      </c>
      <c r="E9" s="7" t="inlineStr">
        <is>
          <t>2.5 S Carbon Edition</t>
        </is>
      </c>
      <c r="F9" s="7" t="inlineStr">
        <is>
          <t>2.5</t>
        </is>
      </c>
      <c r="G9" s="6" t="n">
        <v>33006</v>
      </c>
      <c r="H9" s="9" t="n">
        <v>27424</v>
      </c>
      <c r="I9" s="9" t="n">
        <v>27224</v>
      </c>
      <c r="J9" s="9" t="n">
        <v>200</v>
      </c>
      <c r="K9" s="7" t="inlineStr">
        <is>
          <t>Puyallup Mazda</t>
        </is>
      </c>
      <c r="L9" s="7" t="inlineStr">
        <is>
          <t>Puyallup, WA</t>
        </is>
      </c>
      <c r="M9" s="10" t="n">
        <v>0.108</v>
      </c>
      <c r="N9" s="7" t="inlineStr">
        <is>
          <t>Good · $518 below</t>
        </is>
      </c>
      <c r="O9" s="9" t="n">
        <v>28090</v>
      </c>
      <c r="P9" s="7" t="inlineStr">
        <is>
          <t>1 owner · 0 accidents</t>
        </is>
      </c>
      <c r="Q9" s="7" t="inlineStr">
        <is>
          <t>Yes</t>
        </is>
      </c>
      <c r="R9" s="6" t="n">
        <v>58</v>
      </c>
      <c r="S9" s="7" t="inlineStr">
        <is>
          <t>CarGurus</t>
        </is>
      </c>
      <c r="T9" s="7" t="inlineStr">
        <is>
          <t>https://www.cargurus.com/Cars/listing/450917825</t>
        </is>
      </c>
      <c r="U9" s="7" t="inlineStr">
        <is>
          <t>JM3KFBCMXP0288130</t>
        </is>
      </c>
      <c r="V9" s="7" t="inlineStr">
        <is>
          <t>M260362A</t>
        </is>
      </c>
      <c r="W9" s="6" t="n">
        <v>7</v>
      </c>
      <c r="X9" s="3" t="inlineStr">
        <is>
          <t>Seen Sat Aug 15. The dealer CARFAX link for this vehicle would not load, so its history remains unverified.</t>
        </is>
      </c>
      <c r="Y9" s="3" t="inlineStr">
        <is>
          <t>Red leather, heated fronts, Mazda CPO warranty.</t>
        </is>
      </c>
    </row>
    <row r="10">
      <c r="B10" s="6" t="n">
        <v>10</v>
      </c>
      <c r="C10" s="7" t="inlineStr">
        <is>
          <t>live</t>
        </is>
      </c>
      <c r="D10" s="8" t="n">
        <v>2023</v>
      </c>
      <c r="E10" s="7" t="inlineStr">
        <is>
          <t>2.5 S Preferred</t>
        </is>
      </c>
      <c r="F10" s="7" t="inlineStr">
        <is>
          <t>2.5</t>
        </is>
      </c>
      <c r="G10" s="6" t="n">
        <v>44989</v>
      </c>
      <c r="H10" s="9" t="n">
        <v>24095</v>
      </c>
      <c r="I10" s="9" t="n">
        <v>23995</v>
      </c>
      <c r="J10" s="9" t="n">
        <v>100</v>
      </c>
      <c r="K10" s="7" t="inlineStr">
        <is>
          <t>Columbia Sales &amp; Service</t>
        </is>
      </c>
      <c r="L10" s="7" t="inlineStr">
        <is>
          <t>Portland, OR</t>
        </is>
      </c>
      <c r="M10" s="10" t="n">
        <v>0.1105</v>
      </c>
      <c r="N10" s="7" t="inlineStr">
        <is>
          <t>Great · Cars.com rating</t>
        </is>
      </c>
      <c r="O10" s="9" t="n"/>
      <c r="P10" s="7" t="inlineStr">
        <is>
          <t>2 owners · 0 accidents</t>
        </is>
      </c>
      <c r="Q10" s="7" t="inlineStr">
        <is>
          <t>No</t>
        </is>
      </c>
      <c r="R10" s="6" t="n">
        <v>29</v>
      </c>
      <c r="S10" s="7" t="inlineStr">
        <is>
          <t>Cars.com</t>
        </is>
      </c>
      <c r="T10" s="7" t="inlineStr">
        <is>
          <t>https://www.cars.com/vehicledetail/d4fd9d01-99f9-4673-87c0-1a173ef9551f/</t>
        </is>
      </c>
      <c r="U10" s="7" t="inlineStr">
        <is>
          <t>JM3KFBCM9P0119426</t>
        </is>
      </c>
      <c r="V10" s="7" t="inlineStr">
        <is>
          <t>2468</t>
        </is>
      </c>
      <c r="W10" s="6" t="n">
        <v>12</v>
      </c>
      <c r="X10" s="3" t="inlineStr">
        <is>
          <t>emailed Aug 11, no reply. Oregon: email-only.</t>
        </is>
      </c>
      <c r="Y10" s="3" t="inlineStr">
        <is>
          <t>Leatherette, heated fronts, moonroof.</t>
        </is>
      </c>
    </row>
    <row r="11">
      <c r="B11" s="6" t="n">
        <v>12</v>
      </c>
      <c r="C11" s="7" t="inlineStr">
        <is>
          <t>live</t>
        </is>
      </c>
      <c r="D11" s="8" t="n">
        <v>2023</v>
      </c>
      <c r="E11" s="7" t="inlineStr">
        <is>
          <t>2.5 S Preferred · Mazda CPO</t>
        </is>
      </c>
      <c r="F11" s="7" t="inlineStr">
        <is>
          <t>2.5</t>
        </is>
      </c>
      <c r="G11" s="6" t="n">
        <v>36400</v>
      </c>
      <c r="H11" s="9" t="n">
        <v>26348</v>
      </c>
      <c r="I11" s="9" t="n">
        <v>26348</v>
      </c>
      <c r="J11" s="9" t="n">
        <v>200</v>
      </c>
      <c r="K11" s="7" t="inlineStr">
        <is>
          <t>Lee Johnson Mazda of Seattle</t>
        </is>
      </c>
      <c r="L11" s="7" t="inlineStr">
        <is>
          <t>Seattle, WA</t>
        </is>
      </c>
      <c r="M11" s="10" t="n">
        <v>0.1105</v>
      </c>
      <c r="N11" s="7" t="inlineStr"/>
      <c r="O11" s="9" t="n"/>
      <c r="P11" s="7" t="inlineStr">
        <is>
          <t>0 accidents</t>
        </is>
      </c>
      <c r="Q11" s="7" t="inlineStr">
        <is>
          <t>Yes</t>
        </is>
      </c>
      <c r="R11" s="6" t="n"/>
      <c r="S11" s="7" t="inlineStr">
        <is>
          <t>Cars.com</t>
        </is>
      </c>
      <c r="T11" s="7" t="inlineStr">
        <is>
          <t>https://www.cars.com/vehicledetail/d7b0a899-fdc8-4776-9379-64684c757f41/</t>
        </is>
      </c>
      <c r="U11" s="7" t="inlineStr">
        <is>
          <t>JM3KFBCM7P0256994</t>
        </is>
      </c>
      <c r="V11" s="7" t="n"/>
      <c r="W11" s="6" t="n">
        <v>2</v>
      </c>
      <c r="X11" s="3" t="inlineStr">
        <is>
          <t>in the Lee Johnson two-car OTD request (Aug 11) — both emails to the dealer's listed sales address bounced back Aug 12 (server unreachable after 24h of retries) — the request never arrived; a new contact path is being arranged.</t>
        </is>
      </c>
      <c r="Y11" s="3" t="inlineStr">
        <is>
          <t>Leather-trimmed Preferred content (heated fronts, moonroof) with the Mazda CPO warranty.</t>
        </is>
      </c>
    </row>
    <row r="12">
      <c r="B12" s="6" t="n">
        <v>13</v>
      </c>
      <c r="C12" s="7" t="inlineStr">
        <is>
          <t>live</t>
        </is>
      </c>
      <c r="D12" s="8" t="n">
        <v>2022</v>
      </c>
      <c r="E12" s="7" t="inlineStr">
        <is>
          <t>2.5 S Premium Plus</t>
        </is>
      </c>
      <c r="F12" s="7" t="inlineStr">
        <is>
          <t>2.5</t>
        </is>
      </c>
      <c r="G12" s="6" t="n">
        <v>43640</v>
      </c>
      <c r="H12" s="9" t="n">
        <v>27389</v>
      </c>
      <c r="I12" s="9" t="n">
        <v>27389</v>
      </c>
      <c r="J12" s="9" t="n">
        <v>200</v>
      </c>
      <c r="K12" s="7" t="inlineStr">
        <is>
          <t>Titus-Will Chevrolet GMC Cadillac</t>
        </is>
      </c>
      <c r="L12" s="7" t="inlineStr">
        <is>
          <t>Olympia, WA</t>
        </is>
      </c>
      <c r="M12" s="10" t="n">
        <v>0.102</v>
      </c>
      <c r="N12" s="7" t="inlineStr">
        <is>
          <t>Good · $389 over FPP</t>
        </is>
      </c>
      <c r="O12" s="9" t="n">
        <v>27000</v>
      </c>
      <c r="P12" s="7" t="inlineStr">
        <is>
          <t>1 owner · 0 accidents</t>
        </is>
      </c>
      <c r="Q12" s="7" t="inlineStr">
        <is>
          <t>No</t>
        </is>
      </c>
      <c r="R12" s="6" t="n">
        <v>45</v>
      </c>
      <c r="S12" s="7" t="inlineStr">
        <is>
          <t>KBB</t>
        </is>
      </c>
      <c r="T12" s="7" t="inlineStr">
        <is>
          <t>https://www.kbb.com/cars-for-sale/vehicle/784195725</t>
        </is>
      </c>
      <c r="U12" s="7" t="inlineStr">
        <is>
          <t>JM3KFBEM1N0590576</t>
        </is>
      </c>
      <c r="V12" s="7" t="inlineStr">
        <is>
          <t>P11101</t>
        </is>
      </c>
      <c r="W12" s="6" t="n">
        <v>3</v>
      </c>
      <c r="X12" s="3" t="inlineStr">
        <is>
          <t>dealer confirmed their best number Fri Aug 14 and left the door open; not on this weekend's visit list.</t>
        </is>
      </c>
      <c r="Y12" s="3" t="inlineStr">
        <is>
          <t>Ventilated seats, HUD, heated rears; CarBravo (GM) certified, not Mazda CPO.</t>
        </is>
      </c>
    </row>
    <row r="13">
      <c r="B13" s="6" t="n">
        <v>14</v>
      </c>
      <c r="C13" s="7" t="inlineStr">
        <is>
          <t>live</t>
        </is>
      </c>
      <c r="D13" s="8" t="n">
        <v>2023</v>
      </c>
      <c r="E13" s="7" t="inlineStr">
        <is>
          <t>2.5 S Premium</t>
        </is>
      </c>
      <c r="F13" s="7" t="inlineStr">
        <is>
          <t>2.5</t>
        </is>
      </c>
      <c r="G13" s="6" t="n">
        <v>17505</v>
      </c>
      <c r="H13" s="9" t="n">
        <v>28487</v>
      </c>
      <c r="I13" s="9" t="n">
        <v>28287</v>
      </c>
      <c r="J13" s="9" t="n">
        <v>200</v>
      </c>
      <c r="K13" s="7" t="inlineStr">
        <is>
          <t>Rodland Toyota of Everett</t>
        </is>
      </c>
      <c r="L13" s="7" t="inlineStr">
        <is>
          <t>Everett, WA</t>
        </is>
      </c>
      <c r="M13" s="10" t="n">
        <v>0.104</v>
      </c>
      <c r="N13" s="7" t="inlineStr">
        <is>
          <t>Good · $873 below</t>
        </is>
      </c>
      <c r="O13" s="9" t="n">
        <v>27750</v>
      </c>
      <c r="P13" s="7" t="inlineStr">
        <is>
          <t>1 owner · 0 accidents</t>
        </is>
      </c>
      <c r="Q13" s="7" t="inlineStr">
        <is>
          <t>No</t>
        </is>
      </c>
      <c r="R13" s="6" t="n">
        <v>29</v>
      </c>
      <c r="S13" s="7" t="inlineStr">
        <is>
          <t>CarGurus</t>
        </is>
      </c>
      <c r="T13" s="7" t="inlineStr">
        <is>
          <t>https://www.cargurus.com/Cars/listing/453332129</t>
        </is>
      </c>
      <c r="U13" s="7" t="inlineStr">
        <is>
          <t>JM3KFBDM7P0281828</t>
        </is>
      </c>
      <c r="V13" s="7" t="inlineStr">
        <is>
          <t>68987A</t>
        </is>
      </c>
      <c r="W13" s="6" t="n">
        <v>5</v>
      </c>
      <c r="X13" s="3" t="inlineStr">
        <is>
          <t>dealer declined to negotiate by email (Aug 12 evening); no visit planned.</t>
        </is>
      </c>
      <c r="Y13" s="3" t="inlineStr">
        <is>
          <t>Lowest-mile comfort car in the set: Soul Red, leather, Bose, heated wheel (no ventilation).</t>
        </is>
      </c>
    </row>
    <row r="14">
      <c r="B14" s="6" t="n">
        <v>15</v>
      </c>
      <c r="C14" s="7" t="inlineStr">
        <is>
          <t>benchmark</t>
        </is>
      </c>
      <c r="D14" s="8" t="n">
        <v>2023</v>
      </c>
      <c r="E14" s="7" t="inlineStr">
        <is>
          <t>2.5 S Premium · no-haggle</t>
        </is>
      </c>
      <c r="F14" s="7" t="inlineStr">
        <is>
          <t>2.5</t>
        </is>
      </c>
      <c r="G14" s="6" t="n">
        <v>31166</v>
      </c>
      <c r="H14" s="9" t="n">
        <v>27998</v>
      </c>
      <c r="I14" s="9" t="n">
        <v>27998</v>
      </c>
      <c r="J14" s="9" t="n">
        <v>200</v>
      </c>
      <c r="K14" s="7" t="inlineStr">
        <is>
          <t>CarMax Renton</t>
        </is>
      </c>
      <c r="L14" s="7" t="inlineStr">
        <is>
          <t>Renton, WA</t>
        </is>
      </c>
      <c r="M14" s="10" t="n">
        <v>0.11</v>
      </c>
      <c r="N14" s="7" t="inlineStr">
        <is>
          <t>Fair · $222 below</t>
        </is>
      </c>
      <c r="O14" s="9" t="n"/>
      <c r="P14" s="7" t="inlineStr">
        <is>
          <t>1 owner · 0 accidents</t>
        </is>
      </c>
      <c r="Q14" s="7" t="inlineStr">
        <is>
          <t>No</t>
        </is>
      </c>
      <c r="R14" s="6" t="n">
        <v>3</v>
      </c>
      <c r="S14" s="7" t="inlineStr">
        <is>
          <t>CarMax</t>
        </is>
      </c>
      <c r="T14" s="7" t="inlineStr">
        <is>
          <t>https://www.cargurus.com/Cars/listing/455754266</t>
        </is>
      </c>
      <c r="U14" s="7" t="inlineStr">
        <is>
          <t>JM3KFBDM0P0215315</t>
        </is>
      </c>
      <c r="V14" s="7" t="inlineStr">
        <is>
          <t>70134808</t>
        </is>
      </c>
      <c r="W14" s="6" t="n">
        <v>6</v>
      </c>
      <c r="X14" s="3" t="inlineStr">
        <is>
          <t>reference car; nothing to request.</t>
        </is>
      </c>
      <c r="Y14" s="3" t="inlineStr">
        <is>
          <t>In-state no-haggle benchmark, no transfer fee.</t>
        </is>
      </c>
    </row>
    <row r="15">
      <c r="B15" s="6" t="n">
        <v>17</v>
      </c>
      <c r="C15" s="7" t="inlineStr">
        <is>
          <t>live</t>
        </is>
      </c>
      <c r="D15" s="8" t="n">
        <v>2021</v>
      </c>
      <c r="E15" s="7" t="inlineStr">
        <is>
          <t>Grand Touring w/ GT Premium pkg</t>
        </is>
      </c>
      <c r="F15" s="7" t="inlineStr">
        <is>
          <t>2.5</t>
        </is>
      </c>
      <c r="G15" s="6" t="n">
        <v>30066</v>
      </c>
      <c r="H15" s="9" t="n">
        <v>25799</v>
      </c>
      <c r="I15" s="9" t="n">
        <v>25799</v>
      </c>
      <c r="J15" s="9" t="n">
        <v>0</v>
      </c>
      <c r="K15" s="7" t="inlineStr">
        <is>
          <t>Auto 206 (independent)</t>
        </is>
      </c>
      <c r="L15" s="7" t="inlineStr">
        <is>
          <t>Kent, WA</t>
        </is>
      </c>
      <c r="M15" s="10" t="n">
        <v>0.109</v>
      </c>
      <c r="N15" s="7" t="inlineStr">
        <is>
          <t>$3,281 &lt; FPP</t>
        </is>
      </c>
      <c r="O15" s="9" t="n">
        <v>29080</v>
      </c>
      <c r="P15" s="7" t="inlineStr">
        <is>
          <t>1 owner · 1 accident</t>
        </is>
      </c>
      <c r="Q15" s="7" t="inlineStr">
        <is>
          <t>No</t>
        </is>
      </c>
      <c r="R15" s="6" t="n">
        <v>5</v>
      </c>
      <c r="S15" s="7" t="inlineStr">
        <is>
          <t>Autotrader</t>
        </is>
      </c>
      <c r="T15" s="7" t="inlineStr">
        <is>
          <t>https://www.autotrader.com/cars-for-sale/vehicle/787629893</t>
        </is>
      </c>
      <c r="U15" s="7" t="inlineStr">
        <is>
          <t>JM3KFBDM0M0305902</t>
        </is>
      </c>
      <c r="V15" s="7" t="inlineStr">
        <is>
          <t>13014</t>
        </is>
      </c>
      <c r="W15" s="6" t="n"/>
      <c r="X15" s="3" t="inlineStr">
        <is>
          <t>written offer in hand, valid to Aug 12, 7 PM; Carfax shows a 6/2024 accident. Discussion paused.</t>
        </is>
      </c>
      <c r="Y15" s="3" t="inlineStr">
        <is>
          <t>Ventilated seats at GT money (GT Premium package), Deep Crystal Blue.</t>
        </is>
      </c>
    </row>
    <row r="16">
      <c r="B16" s="6" t="n">
        <v>19</v>
      </c>
      <c r="C16" s="7" t="inlineStr">
        <is>
          <t>live</t>
        </is>
      </c>
      <c r="D16" s="8" t="n">
        <v>2021</v>
      </c>
      <c r="E16" s="7" t="inlineStr">
        <is>
          <t>Signature (2.5T, ventilated)</t>
        </is>
      </c>
      <c r="F16" s="7" t="inlineStr">
        <is>
          <t>2.5 Turbo</t>
        </is>
      </c>
      <c r="G16" s="6" t="n">
        <v>40451</v>
      </c>
      <c r="H16" s="9" t="n">
        <v>26712</v>
      </c>
      <c r="I16" s="9" t="n">
        <v>26712</v>
      </c>
      <c r="J16" s="9" t="n">
        <v>250</v>
      </c>
      <c r="K16" s="7" t="inlineStr">
        <is>
          <t>Tonkin Gresham Honda</t>
        </is>
      </c>
      <c r="L16" s="7" t="inlineStr">
        <is>
          <t>Troutdale, OR</t>
        </is>
      </c>
      <c r="M16" s="10" t="n">
        <v>0.1105</v>
      </c>
      <c r="N16" s="7" t="inlineStr">
        <is>
          <t>Good · $700 below</t>
        </is>
      </c>
      <c r="O16" s="9" t="n">
        <v>24480</v>
      </c>
      <c r="P16" s="7" t="inlineStr">
        <is>
          <t>2 owners · 0 accidents</t>
        </is>
      </c>
      <c r="Q16" s="7" t="inlineStr">
        <is>
          <t>No</t>
        </is>
      </c>
      <c r="R16" s="6" t="n">
        <v>18</v>
      </c>
      <c r="S16" s="7" t="inlineStr">
        <is>
          <t>Cars.com</t>
        </is>
      </c>
      <c r="T16" s="7" t="inlineStr">
        <is>
          <t>https://www.cars.com/vehicledetail/671f18d1-7917-4929-b9c7-3f175ba4013f/</t>
        </is>
      </c>
      <c r="U16" s="7" t="inlineStr">
        <is>
          <t>JM3KFBEY2M0349546</t>
        </is>
      </c>
      <c r="V16" s="7" t="inlineStr">
        <is>
          <t>G6186020B</t>
        </is>
      </c>
      <c r="W16" s="6" t="n"/>
      <c r="X16" s="3" t="inlineStr">
        <is>
          <t>not contacted; Oregon fallback, email-only.</t>
        </is>
      </c>
      <c r="Y16" s="3" t="inlineStr">
        <is>
          <t>Top 2021 trim (Nappa, vents, 360 camera).</t>
        </is>
      </c>
    </row>
    <row r="17">
      <c r="B17" s="6" t="n">
        <v>20</v>
      </c>
      <c r="C17" s="7" t="inlineStr">
        <is>
          <t>live</t>
        </is>
      </c>
      <c r="D17" s="8" t="n">
        <v>2023</v>
      </c>
      <c r="E17" s="7" t="inlineStr">
        <is>
          <t>2.5 S Preferred</t>
        </is>
      </c>
      <c r="F17" s="7" t="inlineStr">
        <is>
          <t>2.5</t>
        </is>
      </c>
      <c r="G17" s="6" t="n">
        <v>16969</v>
      </c>
      <c r="H17" s="9" t="n">
        <v>26500</v>
      </c>
      <c r="I17" s="9" t="n">
        <v>26500</v>
      </c>
      <c r="J17" s="9" t="n">
        <v>250</v>
      </c>
      <c r="K17" s="7" t="inlineStr">
        <is>
          <t>Royal Moore Mazda</t>
        </is>
      </c>
      <c r="L17" s="7" t="inlineStr">
        <is>
          <t>Hillsboro, OR</t>
        </is>
      </c>
      <c r="M17" s="10" t="n">
        <v>0.1105</v>
      </c>
      <c r="N17" s="7" t="inlineStr"/>
      <c r="O17" s="9" t="n"/>
      <c r="P17" s="7" t="inlineStr">
        <is>
          <t>0 accidents</t>
        </is>
      </c>
      <c r="Q17" s="7" t="inlineStr">
        <is>
          <t>No</t>
        </is>
      </c>
      <c r="R17" s="6" t="n">
        <v>18</v>
      </c>
      <c r="S17" s="7" t="inlineStr">
        <is>
          <t>Cars.com</t>
        </is>
      </c>
      <c r="T17" s="7" t="inlineStr">
        <is>
          <t>https://www.cars.com/vehicledetail/84b6552a-4a94-4c5b-96bf-0b3b37cc55a9/</t>
        </is>
      </c>
      <c r="U17" s="7" t="n"/>
      <c r="V17" s="7" t="n"/>
      <c r="W17" s="6" t="n"/>
      <c r="X17" s="3" t="inlineStr">
        <is>
          <t>dealer requoted their remaining 2023 Preferred (stock p12315) Thu Aug 13 with the dealer-added items removed.</t>
        </is>
      </c>
      <c r="Y17" s="3" t="inlineStr">
        <is>
          <t>The Royal Moore group's second low-mile Preferred (Toyota store, same auto center as #8).</t>
        </is>
      </c>
    </row>
    <row r="18">
      <c r="B18" s="6" t="n">
        <v>21</v>
      </c>
      <c r="C18" s="7" t="inlineStr">
        <is>
          <t>live</t>
        </is>
      </c>
      <c r="D18" s="8" t="n">
        <v>2021</v>
      </c>
      <c r="E18" s="7" t="inlineStr">
        <is>
          <t>Signature (2.5T)</t>
        </is>
      </c>
      <c r="F18" s="7" t="inlineStr">
        <is>
          <t>2.5 Turbo</t>
        </is>
      </c>
      <c r="G18" s="6" t="n">
        <v>35589</v>
      </c>
      <c r="H18" s="9" t="n">
        <v>25999</v>
      </c>
      <c r="I18" s="9" t="n">
        <v>25999</v>
      </c>
      <c r="J18" s="9" t="n">
        <v>200</v>
      </c>
      <c r="K18" s="7" t="inlineStr">
        <is>
          <t>Cortes Auto Center (independent)</t>
        </is>
      </c>
      <c r="L18" s="7" t="inlineStr">
        <is>
          <t>Burlington, WA</t>
        </is>
      </c>
      <c r="M18" s="10" t="n">
        <v>0.091</v>
      </c>
      <c r="N18" s="7" t="inlineStr">
        <is>
          <t>Good · $789 over FPP</t>
        </is>
      </c>
      <c r="O18" s="9" t="n">
        <v>25410</v>
      </c>
      <c r="P18" s="7" t="inlineStr">
        <is>
          <t>1 owner · 0 accidents</t>
        </is>
      </c>
      <c r="Q18" s="7" t="inlineStr">
        <is>
          <t>No</t>
        </is>
      </c>
      <c r="R18" s="6" t="n">
        <v>0</v>
      </c>
      <c r="S18" s="7" t="inlineStr">
        <is>
          <t>KBB</t>
        </is>
      </c>
      <c r="T18" s="7" t="inlineStr">
        <is>
          <t>https://www.kbb.com/cars-for-sale/vehicle/787933636</t>
        </is>
      </c>
      <c r="U18" s="7" t="inlineStr">
        <is>
          <t>JM3KFBEY0M0417715</t>
        </is>
      </c>
      <c r="V18" s="7" t="inlineStr">
        <is>
          <t>B1851</t>
        </is>
      </c>
      <c r="W18" s="6" t="n"/>
      <c r="X18" s="3" t="inlineStr">
        <is>
          <t>not contacted (found Aug 12).</t>
        </is>
      </c>
      <c r="Y18" s="3" t="inlineStr">
        <is>
          <t>WA car, top 2021 trim (Nappa leather, ventilated fronts, 360 camera, turbo), Snowflake White / Caturra Brown.</t>
        </is>
      </c>
    </row>
  </sheetData>
  <pageMargins left="0.75" right="0.75" top="1" bottom="1" header="0.5" footer="0.5"/>
</worksheet>
</file>

<file path=xl/worksheets/sheet3.xml><?xml version="1.0" encoding="utf-8"?>
<worksheet xmlns="http://schemas.openxmlformats.org/spreadsheetml/2006/main">
  <sheetPr>
    <tabColor rgb="00B86046"/>
    <outlinePr summaryBelow="1" summaryRight="1"/>
    <pageSetUpPr/>
  </sheetPr>
  <dimension ref="B1:T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30" customWidth="1" min="3" max="3"/>
    <col width="26" customWidth="1" min="4" max="4"/>
    <col width="10" customWidth="1" min="5" max="5"/>
    <col width="44" customWidth="1" min="6" max="6"/>
    <col width="11" customWidth="1" min="7" max="7"/>
    <col width="8" customWidth="1" min="8" max="8"/>
    <col width="10" customWidth="1" min="9" max="9"/>
    <col width="8" customWidth="1" min="10" max="10"/>
    <col width="12" customWidth="1" min="11" max="11"/>
    <col width="14" customWidth="1" min="12" max="12"/>
    <col width="30" customWidth="1" min="13" max="13"/>
    <col width="13" customWidth="1" min="14" max="14"/>
    <col width="13" customWidth="1" min="15" max="15"/>
    <col width="13" customWidth="1" min="16" max="16"/>
    <col width="12" customWidth="1" min="17" max="17"/>
    <col width="14" customWidth="1" min="18" max="18"/>
    <col width="10" customWidth="1" min="19" max="19"/>
    <col width="70" customWidth="1" min="20" max="20"/>
  </cols>
  <sheetData>
    <row r="1">
      <c r="B1" s="1" t="inlineStr">
        <is>
          <t>Written quotes — line items as received, counter sent, gap</t>
        </is>
      </c>
      <c r="C1" s="2" t="n"/>
      <c r="D1" s="2" t="n"/>
      <c r="E1" s="2" t="n"/>
      <c r="F1" s="2" t="n"/>
      <c r="G1" s="2" t="n"/>
      <c r="H1" s="2" t="n"/>
      <c r="I1" s="2" t="n"/>
      <c r="J1" s="2" t="n"/>
      <c r="K1" s="2" t="n"/>
      <c r="L1" s="2" t="n"/>
      <c r="M1" s="2" t="n"/>
      <c r="N1" s="2" t="n"/>
      <c r="O1" s="2" t="n"/>
    </row>
    <row r="3">
      <c r="B3" s="5" t="inlineStr">
        <is>
          <t>#</t>
        </is>
      </c>
      <c r="C3" s="5" t="inlineStr">
        <is>
          <t>Car</t>
        </is>
      </c>
      <c r="D3" s="5" t="inlineStr">
        <is>
          <t>Dealer</t>
        </is>
      </c>
      <c r="E3" s="5" t="inlineStr">
        <is>
          <t>Date</t>
        </is>
      </c>
      <c r="F3" s="5" t="inlineStr">
        <is>
          <t>Document</t>
        </is>
      </c>
      <c r="G3" s="5" t="inlineStr">
        <is>
          <t>Selling $</t>
        </is>
      </c>
      <c r="H3" s="5" t="inlineStr">
        <is>
          <t>Doc $</t>
        </is>
      </c>
      <c r="I3" s="5" t="inlineStr">
        <is>
          <t>Tax $</t>
        </is>
      </c>
      <c r="J3" s="5" t="inlineStr">
        <is>
          <t>Tax rate</t>
        </is>
      </c>
      <c r="K3" s="5" t="inlineStr">
        <is>
          <t>License / gov $</t>
        </is>
      </c>
      <c r="L3" s="5" t="inlineStr">
        <is>
          <t>Taxes+fees lumped $</t>
        </is>
      </c>
      <c r="M3" s="5" t="inlineStr">
        <is>
          <t>Add-ons</t>
        </is>
      </c>
      <c r="N3" s="5" t="inlineStr">
        <is>
          <t>OTD (written)</t>
        </is>
      </c>
      <c r="O3" s="5" t="inlineStr">
        <is>
          <t>First sheet OTD</t>
        </is>
      </c>
      <c r="P3" s="5" t="inlineStr">
        <is>
          <t>Est. OTD at list</t>
        </is>
      </c>
      <c r="Q3" s="5" t="inlineStr">
        <is>
          <t>Counter OTD</t>
        </is>
      </c>
      <c r="R3" s="5" t="inlineStr">
        <is>
          <t>Gap (written − counter)</t>
        </is>
      </c>
      <c r="S3" s="5" t="inlineStr">
        <is>
          <t>Clean sheet?</t>
        </is>
      </c>
      <c r="T3" s="5" t="inlineStr">
        <is>
          <t>Notes</t>
        </is>
      </c>
    </row>
    <row r="4"/>
  </sheetData>
  <pageMargins left="0.75" right="0.75" top="1" bottom="1" header="0.5" footer="0.5"/>
</worksheet>
</file>

<file path=xl/worksheets/sheet4.xml><?xml version="1.0" encoding="utf-8"?>
<worksheet xmlns="http://schemas.openxmlformats.org/spreadsheetml/2006/main">
  <sheetPr>
    <tabColor rgb="00B86046"/>
    <outlinePr summaryBelow="1" summaryRight="1"/>
    <pageSetUpPr/>
  </sheetPr>
  <dimension ref="B1:O30"/>
  <sheetViews>
    <sheetView showGridLines="0" workbookViewId="0">
      <pane xSplit="1" ySplit="8" topLeftCell="B9" activePane="bottomRight" state="frozen"/>
      <selection pane="topRight"/>
      <selection pane="bottomLeft"/>
      <selection pane="bottomRight"/>
      <selection pane="bottomLeft"/>
      <selection pane="bottomRight" activeCell="A1" sqref="A1"/>
    </sheetView>
  </sheetViews>
  <sheetFormatPr baseColWidth="8" defaultRowHeight="15"/>
  <cols>
    <col width="3.5" customWidth="1" min="1" max="1"/>
    <col width="5" customWidth="1" min="2" max="2"/>
    <col width="30" customWidth="1" min="3" max="3"/>
    <col width="24" customWidth="1" min="4" max="4"/>
    <col width="8" customWidth="1" min="5" max="5"/>
    <col width="12" customWidth="1" min="6" max="6"/>
    <col width="8" customWidth="1" min="7" max="7"/>
    <col width="8" customWidth="1" min="8" max="8"/>
    <col width="12" customWidth="1" min="9" max="9"/>
    <col width="12" customWidth="1" min="10" max="10"/>
    <col width="12" customWidth="1" min="11" max="11"/>
    <col width="14" customWidth="1" min="12" max="12"/>
    <col width="14" customWidth="1" min="13" max="13"/>
    <col width="14" customWidth="1" min="14" max="14"/>
    <col width="40" customWidth="1" min="15" max="15"/>
  </cols>
  <sheetData>
    <row r="1">
      <c r="B1" s="1" t="inlineStr">
        <is>
          <t>Monthly cost — live cars, sorted by out-the-door (quoted where a dealer has replied)</t>
        </is>
      </c>
      <c r="C1" s="2" t="n"/>
      <c r="D1" s="2" t="n"/>
      <c r="E1" s="2" t="n"/>
      <c r="F1" s="2" t="n"/>
      <c r="G1" s="2" t="n"/>
      <c r="H1" s="2" t="n"/>
      <c r="I1" s="2" t="n"/>
      <c r="J1" s="2" t="n"/>
      <c r="K1" s="2" t="n"/>
      <c r="L1" s="2" t="n"/>
      <c r="M1" s="2" t="n"/>
      <c r="N1" s="2" t="n"/>
      <c r="O1" s="2" t="n"/>
    </row>
    <row r="3">
      <c r="B3" s="4" t="inlineStr">
        <is>
          <t>APR</t>
        </is>
      </c>
      <c r="C3" s="11" t="n">
        <v>0.063</v>
      </c>
      <c r="E3" s="4" t="inlineStr">
        <is>
          <t>Per $1,000 financed</t>
        </is>
      </c>
      <c r="F3" s="12">
        <f>-PMT($C$3/12,$C$4,1000)</f>
        <v/>
      </c>
    </row>
    <row r="4">
      <c r="B4" s="4" t="inlineStr">
        <is>
          <t>Term (months)</t>
        </is>
      </c>
      <c r="C4" s="13" t="n">
        <v>60</v>
      </c>
      <c r="E4" s="14" t="inlineStr">
        <is>
          <t>Bankrate super-prime used-auto average, updated 7/31/26; credit-union check BECU 5.99% effective 8/1/26</t>
        </is>
      </c>
    </row>
    <row r="5">
      <c r="B5" s="4" t="inlineStr">
        <is>
          <t>Down payment (scenario 2)</t>
        </is>
      </c>
      <c r="C5" s="15" t="n">
        <v>5000</v>
      </c>
    </row>
    <row r="6">
      <c r="B6" s="4" t="inlineStr">
        <is>
          <t>License / title / RTA est.</t>
        </is>
      </c>
      <c r="C6" s="15" t="n">
        <v>600</v>
      </c>
    </row>
    <row r="8">
      <c r="B8" s="5" t="inlineStr">
        <is>
          <t>#</t>
        </is>
      </c>
      <c r="C8" s="5" t="inlineStr">
        <is>
          <t>Car</t>
        </is>
      </c>
      <c r="D8" s="5" t="inlineStr">
        <is>
          <t>Dealer</t>
        </is>
      </c>
      <c r="E8" s="5" t="inlineStr">
        <is>
          <t>Basis</t>
        </is>
      </c>
      <c r="F8" s="5" t="inlineStr">
        <is>
          <t>Vehicle price</t>
        </is>
      </c>
      <c r="G8" s="5" t="inlineStr">
        <is>
          <t>Tax rate</t>
        </is>
      </c>
      <c r="H8" s="5" t="inlineStr">
        <is>
          <t>Doc fee</t>
        </is>
      </c>
      <c r="I8" s="5" t="inlineStr">
        <is>
          <t>Est. OTD</t>
        </is>
      </c>
      <c r="J8" s="5" t="inlineStr">
        <is>
          <t>Written OTD</t>
        </is>
      </c>
      <c r="K8" s="5" t="inlineStr">
        <is>
          <t>OTD used</t>
        </is>
      </c>
      <c r="L8" s="5" t="inlineStr">
        <is>
          <t>Monthly @ $0 down</t>
        </is>
      </c>
      <c r="M8" s="5" t="inlineStr">
        <is>
          <t>Monthly @ down pmt</t>
        </is>
      </c>
      <c r="N8" s="5" t="inlineStr">
        <is>
          <t>Total interest @ $0</t>
        </is>
      </c>
      <c r="O8" s="5" t="inlineStr">
        <is>
          <t>Quote date / note</t>
        </is>
      </c>
    </row>
    <row r="9">
      <c r="B9" s="6" t="n">
        <v>10</v>
      </c>
      <c r="C9" s="7" t="inlineStr">
        <is>
          <t>2023 2.5 S Preferred</t>
        </is>
      </c>
      <c r="D9" s="7" t="inlineStr">
        <is>
          <t>Columbia Sales &amp; Service</t>
        </is>
      </c>
      <c r="E9" s="7" t="inlineStr">
        <is>
          <t>est</t>
        </is>
      </c>
      <c r="F9" s="9" t="n">
        <v>23995</v>
      </c>
      <c r="G9" s="10" t="n">
        <v>0.1105</v>
      </c>
      <c r="H9" s="9" t="n">
        <v>100</v>
      </c>
      <c r="I9" s="16">
        <f>F9*(1+G9)+H9+$C$6</f>
        <v/>
      </c>
      <c r="J9" s="17" t="n"/>
      <c r="K9" s="12">
        <f>IF(J9&gt;0,J9,I9)</f>
        <v/>
      </c>
      <c r="L9" s="16">
        <f>-PMT($C$3/12,$C$4,K9)</f>
        <v/>
      </c>
      <c r="M9" s="16">
        <f>-PMT($C$3/12,$C$4,MAX(0,K9-$C$5))</f>
        <v/>
      </c>
      <c r="N9" s="16">
        <f>L9*$C$4-K9</f>
        <v/>
      </c>
      <c r="O9" s="7" t="inlineStr">
        <is>
          <t>est. at Portland, OR rate</t>
        </is>
      </c>
    </row>
    <row r="10">
      <c r="B10" s="6" t="n">
        <v>6</v>
      </c>
      <c r="C10" s="7" t="inlineStr">
        <is>
          <t>2021 Carbon Ed Turbo AWD</t>
        </is>
      </c>
      <c r="D10" s="7" t="inlineStr">
        <is>
          <t>Puyallup Mazda</t>
        </is>
      </c>
      <c r="E10" s="7" t="inlineStr">
        <is>
          <t>est</t>
        </is>
      </c>
      <c r="F10" s="9" t="n">
        <v>24748</v>
      </c>
      <c r="G10" s="10" t="n">
        <v>0.108</v>
      </c>
      <c r="H10" s="9" t="n">
        <v>200</v>
      </c>
      <c r="I10" s="16">
        <f>F10*(1+G10)+H10+$C$6</f>
        <v/>
      </c>
      <c r="J10" s="17" t="n"/>
      <c r="K10" s="12">
        <f>IF(J10&gt;0,J10,I10)</f>
        <v/>
      </c>
      <c r="L10" s="16">
        <f>-PMT($C$3/12,$C$4,K10)</f>
        <v/>
      </c>
      <c r="M10" s="16">
        <f>-PMT($C$3/12,$C$4,MAX(0,K10-$C$5))</f>
        <v/>
      </c>
      <c r="N10" s="16">
        <f>L10*$C$4-K10</f>
        <v/>
      </c>
      <c r="O10" s="7" t="inlineStr">
        <is>
          <t>est. at Puyallup, WA rate</t>
        </is>
      </c>
    </row>
    <row r="11">
      <c r="B11" s="6" t="n">
        <v>5</v>
      </c>
      <c r="C11" s="7" t="inlineStr">
        <is>
          <t>2021 Grand Touring AWD</t>
        </is>
      </c>
      <c r="D11" s="7" t="inlineStr">
        <is>
          <t>Hyundai of Kirkland / Ford of Kirkland</t>
        </is>
      </c>
      <c r="E11" s="7" t="inlineStr">
        <is>
          <t>est</t>
        </is>
      </c>
      <c r="F11" s="9" t="n">
        <v>25192</v>
      </c>
      <c r="G11" s="10" t="n">
        <v>0.108</v>
      </c>
      <c r="H11" s="9" t="n">
        <v>200</v>
      </c>
      <c r="I11" s="16">
        <f>F11*(1+G11)+H11+$C$6</f>
        <v/>
      </c>
      <c r="J11" s="17" t="n"/>
      <c r="K11" s="12">
        <f>IF(J11&gt;0,J11,I11)</f>
        <v/>
      </c>
      <c r="L11" s="16">
        <f>-PMT($C$3/12,$C$4,K11)</f>
        <v/>
      </c>
      <c r="M11" s="16">
        <f>-PMT($C$3/12,$C$4,MAX(0,K11-$C$5))</f>
        <v/>
      </c>
      <c r="N11" s="16">
        <f>L11*$C$4-K11</f>
        <v/>
      </c>
      <c r="O11" s="7" t="inlineStr">
        <is>
          <t>est. at Kirkland, WA rate</t>
        </is>
      </c>
    </row>
    <row r="12">
      <c r="B12" s="6" t="n">
        <v>21</v>
      </c>
      <c r="C12" s="7" t="inlineStr">
        <is>
          <t>2021 Signature (2.5T)</t>
        </is>
      </c>
      <c r="D12" s="7" t="inlineStr">
        <is>
          <t>Cortes Auto Center (independent)</t>
        </is>
      </c>
      <c r="E12" s="7" t="inlineStr">
        <is>
          <t>est</t>
        </is>
      </c>
      <c r="F12" s="9" t="n">
        <v>25999</v>
      </c>
      <c r="G12" s="10" t="n">
        <v>0.091</v>
      </c>
      <c r="H12" s="9" t="n">
        <v>200</v>
      </c>
      <c r="I12" s="16">
        <f>F12*(1+G12)+H12+$C$6</f>
        <v/>
      </c>
      <c r="J12" s="17" t="n"/>
      <c r="K12" s="12">
        <f>IF(J12&gt;0,J12,I12)</f>
        <v/>
      </c>
      <c r="L12" s="16">
        <f>-PMT($C$3/12,$C$4,K12)</f>
        <v/>
      </c>
      <c r="M12" s="16">
        <f>-PMT($C$3/12,$C$4,MAX(0,K12-$C$5))</f>
        <v/>
      </c>
      <c r="N12" s="16">
        <f>L12*$C$4-K12</f>
        <v/>
      </c>
      <c r="O12" s="7" t="inlineStr">
        <is>
          <t>est. at Burlington, WA rate</t>
        </is>
      </c>
    </row>
    <row r="13">
      <c r="B13" s="6" t="n">
        <v>17</v>
      </c>
      <c r="C13" s="7" t="inlineStr">
        <is>
          <t>2021 Grand Touring w/ GT Premium pkg</t>
        </is>
      </c>
      <c r="D13" s="7" t="inlineStr">
        <is>
          <t>Auto 206 (independent)</t>
        </is>
      </c>
      <c r="E13" s="7" t="inlineStr">
        <is>
          <t>est</t>
        </is>
      </c>
      <c r="F13" s="9" t="n">
        <v>25799</v>
      </c>
      <c r="G13" s="10" t="n">
        <v>0.109</v>
      </c>
      <c r="H13" s="9" t="n">
        <v>0</v>
      </c>
      <c r="I13" s="16">
        <f>F13*(1+G13)+H13+$C$6</f>
        <v/>
      </c>
      <c r="J13" s="17" t="n"/>
      <c r="K13" s="12">
        <f>IF(J13&gt;0,J13,I13)</f>
        <v/>
      </c>
      <c r="L13" s="16">
        <f>-PMT($C$3/12,$C$4,K13)</f>
        <v/>
      </c>
      <c r="M13" s="16">
        <f>-PMT($C$3/12,$C$4,MAX(0,K13-$C$5))</f>
        <v/>
      </c>
      <c r="N13" s="16">
        <f>L13*$C$4-K13</f>
        <v/>
      </c>
      <c r="O13" s="7" t="inlineStr">
        <is>
          <t>est. at Kent, WA rate</t>
        </is>
      </c>
    </row>
    <row r="14">
      <c r="B14" s="6" t="n">
        <v>4</v>
      </c>
      <c r="C14" s="7" t="inlineStr">
        <is>
          <t>2021 Carbon Edition Turbo</t>
        </is>
      </c>
      <c r="D14" s="7" t="inlineStr">
        <is>
          <t>Ron Tonkin Honda</t>
        </is>
      </c>
      <c r="E14" s="7" t="inlineStr">
        <is>
          <t>est</t>
        </is>
      </c>
      <c r="F14" s="9" t="n">
        <v>25852</v>
      </c>
      <c r="G14" s="10" t="n">
        <v>0.1105</v>
      </c>
      <c r="H14" s="9" t="n">
        <v>250</v>
      </c>
      <c r="I14" s="16">
        <f>F14*(1+G14)+H14+$C$6</f>
        <v/>
      </c>
      <c r="J14" s="17" t="n"/>
      <c r="K14" s="12">
        <f>IF(J14&gt;0,J14,I14)</f>
        <v/>
      </c>
      <c r="L14" s="16">
        <f>-PMT($C$3/12,$C$4,K14)</f>
        <v/>
      </c>
      <c r="M14" s="16">
        <f>-PMT($C$3/12,$C$4,MAX(0,K14-$C$5))</f>
        <v/>
      </c>
      <c r="N14" s="16">
        <f>L14*$C$4-K14</f>
        <v/>
      </c>
      <c r="O14" s="7" t="inlineStr">
        <is>
          <t>est. at Portland, OR rate</t>
        </is>
      </c>
    </row>
    <row r="15">
      <c r="B15" s="6" t="n">
        <v>12</v>
      </c>
      <c r="C15" s="7" t="inlineStr">
        <is>
          <t>2023 2.5 S Preferred · Mazda CPO</t>
        </is>
      </c>
      <c r="D15" s="7" t="inlineStr">
        <is>
          <t>Lee Johnson Mazda of Seattle</t>
        </is>
      </c>
      <c r="E15" s="7" t="inlineStr">
        <is>
          <t>est</t>
        </is>
      </c>
      <c r="F15" s="9" t="n">
        <v>26348</v>
      </c>
      <c r="G15" s="10" t="n">
        <v>0.1105</v>
      </c>
      <c r="H15" s="9" t="n">
        <v>200</v>
      </c>
      <c r="I15" s="16">
        <f>F15*(1+G15)+H15+$C$6</f>
        <v/>
      </c>
      <c r="J15" s="17" t="n"/>
      <c r="K15" s="12">
        <f>IF(J15&gt;0,J15,I15)</f>
        <v/>
      </c>
      <c r="L15" s="16">
        <f>-PMT($C$3/12,$C$4,K15)</f>
        <v/>
      </c>
      <c r="M15" s="16">
        <f>-PMT($C$3/12,$C$4,MAX(0,K15-$C$5))</f>
        <v/>
      </c>
      <c r="N15" s="16">
        <f>L15*$C$4-K15</f>
        <v/>
      </c>
      <c r="O15" s="7" t="inlineStr">
        <is>
          <t>est. at Seattle, WA rate</t>
        </is>
      </c>
    </row>
    <row r="16">
      <c r="B16" s="6" t="n">
        <v>20</v>
      </c>
      <c r="C16" s="7" t="inlineStr">
        <is>
          <t>2023 2.5 S Preferred</t>
        </is>
      </c>
      <c r="D16" s="7" t="inlineStr">
        <is>
          <t>Royal Moore Mazda</t>
        </is>
      </c>
      <c r="E16" s="7" t="inlineStr">
        <is>
          <t>est</t>
        </is>
      </c>
      <c r="F16" s="9" t="n">
        <v>26500</v>
      </c>
      <c r="G16" s="10" t="n">
        <v>0.1105</v>
      </c>
      <c r="H16" s="9" t="n">
        <v>250</v>
      </c>
      <c r="I16" s="16">
        <f>F16*(1+G16)+H16+$C$6</f>
        <v/>
      </c>
      <c r="J16" s="17" t="n"/>
      <c r="K16" s="12">
        <f>IF(J16&gt;0,J16,I16)</f>
        <v/>
      </c>
      <c r="L16" s="16">
        <f>-PMT($C$3/12,$C$4,K16)</f>
        <v/>
      </c>
      <c r="M16" s="16">
        <f>-PMT($C$3/12,$C$4,MAX(0,K16-$C$5))</f>
        <v/>
      </c>
      <c r="N16" s="16">
        <f>L16*$C$4-K16</f>
        <v/>
      </c>
      <c r="O16" s="7" t="inlineStr">
        <is>
          <t>est. at Hillsboro, OR rate</t>
        </is>
      </c>
    </row>
    <row r="17">
      <c r="B17" s="6" t="n">
        <v>19</v>
      </c>
      <c r="C17" s="7" t="inlineStr">
        <is>
          <t>2021 Signature (2.5T, ventilated)</t>
        </is>
      </c>
      <c r="D17" s="7" t="inlineStr">
        <is>
          <t>Tonkin Gresham Honda</t>
        </is>
      </c>
      <c r="E17" s="7" t="inlineStr">
        <is>
          <t>est</t>
        </is>
      </c>
      <c r="F17" s="9" t="n">
        <v>26712</v>
      </c>
      <c r="G17" s="10" t="n">
        <v>0.1105</v>
      </c>
      <c r="H17" s="9" t="n">
        <v>250</v>
      </c>
      <c r="I17" s="16">
        <f>F17*(1+G17)+H17+$C$6</f>
        <v/>
      </c>
      <c r="J17" s="17" t="n"/>
      <c r="K17" s="12">
        <f>IF(J17&gt;0,J17,I17)</f>
        <v/>
      </c>
      <c r="L17" s="16">
        <f>-PMT($C$3/12,$C$4,K17)</f>
        <v/>
      </c>
      <c r="M17" s="16">
        <f>-PMT($C$3/12,$C$4,MAX(0,K17-$C$5))</f>
        <v/>
      </c>
      <c r="N17" s="16">
        <f>L17*$C$4-K17</f>
        <v/>
      </c>
      <c r="O17" s="7" t="inlineStr">
        <is>
          <t>est. at Troutdale, OR rate</t>
        </is>
      </c>
    </row>
    <row r="18">
      <c r="B18" s="6" t="n">
        <v>9</v>
      </c>
      <c r="C18" s="7" t="inlineStr">
        <is>
          <t>2023 2.5 S Carbon Edition</t>
        </is>
      </c>
      <c r="D18" s="7" t="inlineStr">
        <is>
          <t>Puyallup Mazda</t>
        </is>
      </c>
      <c r="E18" s="7" t="inlineStr">
        <is>
          <t>est</t>
        </is>
      </c>
      <c r="F18" s="9" t="n">
        <v>27224</v>
      </c>
      <c r="G18" s="10" t="n">
        <v>0.108</v>
      </c>
      <c r="H18" s="9" t="n">
        <v>200</v>
      </c>
      <c r="I18" s="16">
        <f>F18*(1+G18)+H18+$C$6</f>
        <v/>
      </c>
      <c r="J18" s="17" t="n"/>
      <c r="K18" s="12">
        <f>IF(J18&gt;0,J18,I18)</f>
        <v/>
      </c>
      <c r="L18" s="16">
        <f>-PMT($C$3/12,$C$4,K18)</f>
        <v/>
      </c>
      <c r="M18" s="16">
        <f>-PMT($C$3/12,$C$4,MAX(0,K18-$C$5))</f>
        <v/>
      </c>
      <c r="N18" s="16">
        <f>L18*$C$4-K18</f>
        <v/>
      </c>
      <c r="O18" s="7" t="inlineStr">
        <is>
          <t>est. at Puyallup, WA rate</t>
        </is>
      </c>
    </row>
    <row r="19">
      <c r="B19" s="6" t="n">
        <v>13</v>
      </c>
      <c r="C19" s="7" t="inlineStr">
        <is>
          <t>2022 2.5 S Premium Plus</t>
        </is>
      </c>
      <c r="D19" s="7" t="inlineStr">
        <is>
          <t>Titus-Will Chevrolet GMC Cadillac</t>
        </is>
      </c>
      <c r="E19" s="7" t="inlineStr">
        <is>
          <t>est</t>
        </is>
      </c>
      <c r="F19" s="9" t="n">
        <v>27389</v>
      </c>
      <c r="G19" s="10" t="n">
        <v>0.102</v>
      </c>
      <c r="H19" s="9" t="n">
        <v>200</v>
      </c>
      <c r="I19" s="16">
        <f>F19*(1+G19)+H19+$C$6</f>
        <v/>
      </c>
      <c r="J19" s="17" t="n"/>
      <c r="K19" s="12">
        <f>IF(J19&gt;0,J19,I19)</f>
        <v/>
      </c>
      <c r="L19" s="16">
        <f>-PMT($C$3/12,$C$4,K19)</f>
        <v/>
      </c>
      <c r="M19" s="16">
        <f>-PMT($C$3/12,$C$4,MAX(0,K19-$C$5))</f>
        <v/>
      </c>
      <c r="N19" s="16">
        <f>L19*$C$4-K19</f>
        <v/>
      </c>
      <c r="O19" s="7" t="inlineStr">
        <is>
          <t>est. at Olympia, WA rate</t>
        </is>
      </c>
    </row>
    <row r="20">
      <c r="B20" s="6" t="n">
        <v>7</v>
      </c>
      <c r="C20" s="7" t="inlineStr">
        <is>
          <t>2022 2.5 S Carbon Edition</t>
        </is>
      </c>
      <c r="D20" s="7" t="inlineStr">
        <is>
          <t>Lee Johnson Mazda of Seattle</t>
        </is>
      </c>
      <c r="E20" s="7" t="inlineStr">
        <is>
          <t>est</t>
        </is>
      </c>
      <c r="F20" s="9" t="n">
        <v>27512</v>
      </c>
      <c r="G20" s="10" t="n">
        <v>0.1105</v>
      </c>
      <c r="H20" s="9" t="n">
        <v>200</v>
      </c>
      <c r="I20" s="16">
        <f>F20*(1+G20)+H20+$C$6</f>
        <v/>
      </c>
      <c r="J20" s="17" t="n"/>
      <c r="K20" s="12">
        <f>IF(J20&gt;0,J20,I20)</f>
        <v/>
      </c>
      <c r="L20" s="16">
        <f>-PMT($C$3/12,$C$4,K20)</f>
        <v/>
      </c>
      <c r="M20" s="16">
        <f>-PMT($C$3/12,$C$4,MAX(0,K20-$C$5))</f>
        <v/>
      </c>
      <c r="N20" s="16">
        <f>L20*$C$4-K20</f>
        <v/>
      </c>
      <c r="O20" s="7" t="inlineStr">
        <is>
          <t>est. at Seattle, WA rate</t>
        </is>
      </c>
    </row>
    <row r="21">
      <c r="B21" s="6" t="n">
        <v>1</v>
      </c>
      <c r="C21" s="7" t="inlineStr">
        <is>
          <t>2023 2.5 Turbo AWD</t>
        </is>
      </c>
      <c r="D21" s="7" t="inlineStr">
        <is>
          <t>Puyallup Mazda</t>
        </is>
      </c>
      <c r="E21" s="7" t="inlineStr">
        <is>
          <t>est</t>
        </is>
      </c>
      <c r="F21" s="9" t="n">
        <v>27719</v>
      </c>
      <c r="G21" s="10" t="n">
        <v>0.108</v>
      </c>
      <c r="H21" s="9" t="n">
        <v>200</v>
      </c>
      <c r="I21" s="16">
        <f>F21*(1+G21)+H21+$C$6</f>
        <v/>
      </c>
      <c r="J21" s="17" t="n"/>
      <c r="K21" s="12">
        <f>IF(J21&gt;0,J21,I21)</f>
        <v/>
      </c>
      <c r="L21" s="16">
        <f>-PMT($C$3/12,$C$4,K21)</f>
        <v/>
      </c>
      <c r="M21" s="16">
        <f>-PMT($C$3/12,$C$4,MAX(0,K21-$C$5))</f>
        <v/>
      </c>
      <c r="N21" s="16">
        <f>L21*$C$4-K21</f>
        <v/>
      </c>
      <c r="O21" s="7" t="inlineStr">
        <is>
          <t>est. at Puyallup, WA rate</t>
        </is>
      </c>
    </row>
    <row r="22">
      <c r="B22" s="18" t="n">
        <v>15</v>
      </c>
      <c r="C22" s="19" t="inlineStr">
        <is>
          <t>2023 2.5 S Premium · no-haggle (benchmark)</t>
        </is>
      </c>
      <c r="D22" s="19" t="inlineStr">
        <is>
          <t>CarMax Renton</t>
        </is>
      </c>
      <c r="E22" s="19" t="inlineStr">
        <is>
          <t>est</t>
        </is>
      </c>
      <c r="F22" s="20" t="n">
        <v>27998</v>
      </c>
      <c r="G22" s="21" t="n">
        <v>0.11</v>
      </c>
      <c r="H22" s="20" t="n">
        <v>200</v>
      </c>
      <c r="I22" s="22">
        <f>F22*(1+G22)+H22+$C$6</f>
        <v/>
      </c>
      <c r="J22" s="23" t="n"/>
      <c r="K22" s="24">
        <f>IF(J22&gt;0,J22,I22)</f>
        <v/>
      </c>
      <c r="L22" s="22">
        <f>-PMT($C$3/12,$C$4,K22)</f>
        <v/>
      </c>
      <c r="M22" s="22">
        <f>-PMT($C$3/12,$C$4,MAX(0,K22-$C$5))</f>
        <v/>
      </c>
      <c r="N22" s="22">
        <f>L22*$C$4-K22</f>
        <v/>
      </c>
      <c r="O22" s="19" t="inlineStr">
        <is>
          <t>est. at Renton, WA rate</t>
        </is>
      </c>
    </row>
    <row r="23">
      <c r="B23" s="6" t="n">
        <v>14</v>
      </c>
      <c r="C23" s="7" t="inlineStr">
        <is>
          <t>2023 2.5 S Premium</t>
        </is>
      </c>
      <c r="D23" s="7" t="inlineStr">
        <is>
          <t>Rodland Toyota of Everett</t>
        </is>
      </c>
      <c r="E23" s="7" t="inlineStr">
        <is>
          <t>est</t>
        </is>
      </c>
      <c r="F23" s="9" t="n">
        <v>28287</v>
      </c>
      <c r="G23" s="10" t="n">
        <v>0.104</v>
      </c>
      <c r="H23" s="9" t="n">
        <v>200</v>
      </c>
      <c r="I23" s="16">
        <f>F23*(1+G23)+H23+$C$6</f>
        <v/>
      </c>
      <c r="J23" s="17" t="n"/>
      <c r="K23" s="12">
        <f>IF(J23&gt;0,J23,I23)</f>
        <v/>
      </c>
      <c r="L23" s="16">
        <f>-PMT($C$3/12,$C$4,K23)</f>
        <v/>
      </c>
      <c r="M23" s="16">
        <f>-PMT($C$3/12,$C$4,MAX(0,K23-$C$5))</f>
        <v/>
      </c>
      <c r="N23" s="16">
        <f>L23*$C$4-K23</f>
        <v/>
      </c>
      <c r="O23" s="7" t="inlineStr">
        <is>
          <t>est. at Everett, WA rate</t>
        </is>
      </c>
    </row>
    <row r="25">
      <c r="B25" s="4" t="inlineStr">
        <is>
          <t>Cheapest solid vs. stretch</t>
        </is>
      </c>
    </row>
    <row r="26">
      <c r="B26" s="7" t="n"/>
      <c r="C26" s="4" t="inlineStr">
        <is>
          <t>Cheapest solid</t>
        </is>
      </c>
      <c r="D26" s="7" t="inlineStr">
        <is>
          <t>#4 2021 Carbon Edition Turbo · Ron Tonkin Honda</t>
        </is>
      </c>
      <c r="E26" s="7" t="inlineStr">
        <is>
          <t>est</t>
        </is>
      </c>
      <c r="F26" s="16" t="n">
        <v>25852</v>
      </c>
      <c r="G26" s="7" t="n"/>
      <c r="H26" s="7" t="n"/>
      <c r="I26" s="7" t="n"/>
      <c r="J26" s="7" t="n"/>
      <c r="K26" s="16" t="n">
        <v>29558.646</v>
      </c>
      <c r="L26" s="16" t="n">
        <v>575.5838348034372</v>
      </c>
      <c r="M26" s="16" t="n">
        <v>478.2208103260242</v>
      </c>
      <c r="N26" s="16" t="n">
        <v>4976.384088206229</v>
      </c>
    </row>
    <row r="27">
      <c r="B27" s="7" t="n"/>
      <c r="C27" s="4" t="inlineStr">
        <is>
          <t>Stretch</t>
        </is>
      </c>
      <c r="D27" s="7" t="inlineStr">
        <is>
          <t>#1 2023 2.5 Turbo AWD · Puyallup Mazda</t>
        </is>
      </c>
      <c r="E27" s="7" t="inlineStr">
        <is>
          <t>est</t>
        </is>
      </c>
      <c r="F27" s="16" t="n">
        <v>27719</v>
      </c>
      <c r="G27" s="7" t="n"/>
      <c r="H27" s="7" t="n"/>
      <c r="I27" s="7" t="n"/>
      <c r="J27" s="7" t="n"/>
      <c r="K27" s="16" t="n">
        <v>31512.652</v>
      </c>
      <c r="L27" s="16" t="n">
        <v>613.6334216048396</v>
      </c>
      <c r="M27" s="16" t="n">
        <v>516.2703971274266</v>
      </c>
      <c r="N27" s="16" t="n">
        <v>5305.35329629037</v>
      </c>
    </row>
    <row r="28">
      <c r="B28" s="25" t="n"/>
      <c r="C28" s="25" t="inlineStr">
        <is>
          <t>Δ</t>
        </is>
      </c>
      <c r="D28" s="25" t="n"/>
      <c r="E28" s="25" t="n"/>
      <c r="F28" s="26" t="n">
        <v>1867</v>
      </c>
      <c r="G28" s="25" t="n"/>
      <c r="H28" s="25" t="n"/>
      <c r="I28" s="25" t="n"/>
      <c r="J28" s="25" t="n"/>
      <c r="K28" s="26" t="n">
        <v>1954.006000000001</v>
      </c>
      <c r="L28" s="26" t="n">
        <v>38.04958680140237</v>
      </c>
      <c r="M28" s="26" t="n">
        <v>38.04958680140243</v>
      </c>
      <c r="N28" s="26" t="n">
        <v>328.9692080841414</v>
      </c>
    </row>
    <row r="30">
      <c r="B30" s="14" t="inlineStr">
        <is>
          <t>Rule: cheapest solid = lowest estimated out-the-door figure among live cars with a verified 1-owner / 0-accident history (or Mazda CPO) at a franchise dealer; stretch = best-value live 2023 in the Turbo / Premium tiers, ranked by list price against KBB Seattle fair purchase price.</t>
        </is>
      </c>
    </row>
  </sheetData>
  <pageMargins left="0.75" right="0.75" top="1" bottom="1" header="0.5" footer="0.5"/>
</worksheet>
</file>

<file path=xl/worksheets/sheet5.xml><?xml version="1.0" encoding="utf-8"?>
<worksheet xmlns="http://schemas.openxmlformats.org/spreadsheetml/2006/main">
  <sheetPr>
    <tabColor rgb="00B86046"/>
    <outlinePr summaryBelow="1" summaryRight="1"/>
    <pageSetUpPr/>
  </sheetPr>
  <dimension ref="B1:O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6" customWidth="1" min="3" max="3"/>
    <col width="30" customWidth="1" min="4" max="4"/>
    <col width="30" customWidth="1" min="5" max="5"/>
    <col width="16" customWidth="1" min="6" max="6"/>
    <col width="12" customWidth="1" min="7" max="7"/>
    <col width="9" customWidth="1" min="8" max="8"/>
    <col width="10" customWidth="1" min="9" max="9"/>
    <col width="50" customWidth="1" min="10" max="10"/>
    <col width="50" customWidth="1" min="11" max="11"/>
  </cols>
  <sheetData>
    <row r="1">
      <c r="B1" s="1" t="inlineStr">
        <is>
          <t>Sold and removed since publication</t>
        </is>
      </c>
      <c r="C1" s="2" t="n"/>
      <c r="D1" s="2" t="n"/>
      <c r="E1" s="2" t="n"/>
      <c r="F1" s="2" t="n"/>
      <c r="G1" s="2" t="n"/>
      <c r="H1" s="2" t="n"/>
      <c r="I1" s="2" t="n"/>
      <c r="J1" s="2" t="n"/>
      <c r="K1" s="2" t="n"/>
      <c r="L1" s="2" t="n"/>
      <c r="M1" s="2" t="n"/>
      <c r="N1" s="2" t="n"/>
      <c r="O1" s="2" t="n"/>
    </row>
    <row r="3">
      <c r="B3" s="5" t="inlineStr">
        <is>
          <t>#</t>
        </is>
      </c>
      <c r="C3" s="5" t="inlineStr">
        <is>
          <t>Year</t>
        </is>
      </c>
      <c r="D3" s="5" t="inlineStr">
        <is>
          <t>Trim</t>
        </is>
      </c>
      <c r="E3" s="5" t="inlineStr">
        <is>
          <t>Dealer</t>
        </is>
      </c>
      <c r="F3" s="5" t="inlineStr">
        <is>
          <t>City</t>
        </is>
      </c>
      <c r="G3" s="5" t="inlineStr">
        <is>
          <t>Was listed $</t>
        </is>
      </c>
      <c r="H3" s="5" t="inlineStr">
        <is>
          <t>Miles</t>
        </is>
      </c>
      <c r="I3" s="5" t="inlineStr">
        <is>
          <t>Sold</t>
        </is>
      </c>
      <c r="J3" s="5" t="inlineStr">
        <is>
          <t>How confirmed</t>
        </is>
      </c>
      <c r="K3" s="5" t="inlineStr">
        <is>
          <t>Listing URL</t>
        </is>
      </c>
    </row>
    <row r="4">
      <c r="B4" s="6" t="n">
        <v>2</v>
      </c>
      <c r="C4" s="8" t="n">
        <v>2022</v>
      </c>
      <c r="D4" s="7" t="inlineStr">
        <is>
          <t>2.5 Turbo AWD</t>
        </is>
      </c>
      <c r="E4" s="7" t="inlineStr">
        <is>
          <t>Acura of Seattle</t>
        </is>
      </c>
      <c r="F4" s="7" t="inlineStr">
        <is>
          <t>Tukwila, WA</t>
        </is>
      </c>
      <c r="G4" s="9" t="n">
        <v>27300</v>
      </c>
      <c r="H4" s="6" t="n">
        <v>25353</v>
      </c>
      <c r="I4" s="7" t="inlineStr">
        <is>
          <t>Aug 11</t>
        </is>
      </c>
      <c r="J4" s="7" t="inlineStr">
        <is>
          <t>confirmed Aug 11 PM</t>
        </is>
      </c>
      <c r="K4" s="7" t="inlineStr">
        <is>
          <t>https://www.cargurus.com/Cars/listing/451655500</t>
        </is>
      </c>
    </row>
    <row r="5">
      <c r="B5" s="6" t="n">
        <v>3</v>
      </c>
      <c r="C5" s="8" t="n">
        <v>2021</v>
      </c>
      <c r="D5" s="7" t="inlineStr">
        <is>
          <t>Grand Touring Reserve AWD (2.5 Turbo)</t>
        </is>
      </c>
      <c r="E5" s="7" t="inlineStr">
        <is>
          <t>BMW Seattle</t>
        </is>
      </c>
      <c r="F5" s="7" t="inlineStr">
        <is>
          <t>Seattle, WA</t>
        </is>
      </c>
      <c r="G5" s="9" t="n">
        <v>24999</v>
      </c>
      <c r="H5" s="6" t="n">
        <v>39141</v>
      </c>
      <c r="I5" s="7" t="inlineStr">
        <is>
          <t>Aug 11</t>
        </is>
      </c>
      <c r="J5" s="7" t="inlineStr">
        <is>
          <t>dealer confirmed Aug 11 PM; CarGurus copy closed Aug 12</t>
        </is>
      </c>
      <c r="K5" s="7" t="inlineStr">
        <is>
          <t>https://www.cargurus.com/Cars/listing/455054228</t>
        </is>
      </c>
    </row>
    <row r="6">
      <c r="B6" s="6" t="n">
        <v>8</v>
      </c>
      <c r="C6" s="8" t="n">
        <v>2023</v>
      </c>
      <c r="D6" s="7" t="inlineStr">
        <is>
          <t>2.5 S Preferred AWD</t>
        </is>
      </c>
      <c r="E6" s="7" t="inlineStr">
        <is>
          <t>Royal Moore Mazda</t>
        </is>
      </c>
      <c r="F6" s="7" t="inlineStr">
        <is>
          <t>Hillsboro, OR</t>
        </is>
      </c>
      <c r="G6" s="9" t="n">
        <v>26900</v>
      </c>
      <c r="H6" s="6" t="n">
        <v>16615</v>
      </c>
      <c r="I6" s="7" t="inlineStr">
        <is>
          <t>Aug 13</t>
        </is>
      </c>
      <c r="J6" s="7" t="inlineStr">
        <is>
          <t>dealer email Aug 13</t>
        </is>
      </c>
      <c r="K6" s="7" t="inlineStr">
        <is>
          <t>https://www.cargurus.com/Cars/listing/454567468</t>
        </is>
      </c>
    </row>
    <row r="7">
      <c r="B7" s="6" t="n">
        <v>11</v>
      </c>
      <c r="C7" s="8" t="n">
        <v>2022</v>
      </c>
      <c r="D7" s="7" t="inlineStr">
        <is>
          <t>Carbon Edition</t>
        </is>
      </c>
      <c r="E7" s="7" t="inlineStr">
        <is>
          <t>CarMax Sacramento South</t>
        </is>
      </c>
      <c r="F7" s="7" t="inlineStr">
        <is>
          <t>Sacramento, CA</t>
        </is>
      </c>
      <c r="G7" s="9" t="n">
        <v>24998</v>
      </c>
      <c r="H7" s="6" t="n">
        <v>48337</v>
      </c>
      <c r="I7" s="7" t="inlineStr">
        <is>
          <t>Aug 11</t>
        </is>
      </c>
      <c r="J7" s="7" t="inlineStr">
        <is>
          <t>Aug 11 PM</t>
        </is>
      </c>
      <c r="K7" s="7" t="inlineStr">
        <is>
          <t>https://www.carmax.com/car/70056694</t>
        </is>
      </c>
    </row>
    <row r="8">
      <c r="B8" s="6" t="n">
        <v>16</v>
      </c>
      <c r="C8" s="8" t="n">
        <v>2021</v>
      </c>
      <c r="D8" s="7" t="inlineStr">
        <is>
          <t>Grand Touring AWD</t>
        </is>
      </c>
      <c r="E8" s="7" t="inlineStr">
        <is>
          <t>Doug's Lynnwood Mazda</t>
        </is>
      </c>
      <c r="F8" s="7" t="inlineStr">
        <is>
          <t>Edmonds, WA</t>
        </is>
      </c>
      <c r="G8" s="9" t="n">
        <v>28700</v>
      </c>
      <c r="H8" s="6" t="n">
        <v>27089</v>
      </c>
      <c r="I8" s="7" t="inlineStr">
        <is>
          <t>Aug 11</t>
        </is>
      </c>
      <c r="J8" s="7" t="inlineStr">
        <is>
          <t>dealer email Aug 11 (sold Aug 10)</t>
        </is>
      </c>
      <c r="K8" s="7" t="inlineStr">
        <is>
          <t>https://www.cars.com/vehicledetail/495a1e58-37a7-480b-9f80-8bb411d8fa8f/</t>
        </is>
      </c>
    </row>
    <row r="9">
      <c r="B9" s="6" t="n">
        <v>18</v>
      </c>
      <c r="C9" s="8" t="n">
        <v>2023</v>
      </c>
      <c r="D9" s="7" t="inlineStr">
        <is>
          <t>2.5 S Preferred AWD</t>
        </is>
      </c>
      <c r="E9" s="7" t="inlineStr">
        <is>
          <t>Auto Connections of Bellevue (independent)</t>
        </is>
      </c>
      <c r="F9" s="7" t="inlineStr">
        <is>
          <t>Bellevue, WA</t>
        </is>
      </c>
      <c r="G9" s="9" t="n">
        <v>26495</v>
      </c>
      <c r="H9" s="6" t="n">
        <v>20533</v>
      </c>
      <c r="I9" s="7" t="inlineStr">
        <is>
          <t>Aug 11</t>
        </is>
      </c>
      <c r="J9" s="7" t="inlineStr">
        <is>
          <t>Aug 11, 11:51 AM</t>
        </is>
      </c>
      <c r="K9" s="7" t="inlineStr">
        <is>
          <t>https://www.cargurus.com/Cars/listing/450670232</t>
        </is>
      </c>
    </row>
  </sheetData>
  <pageMargins left="0.75" right="0.75" top="1" bottom="1" header="0.5" footer="0.5"/>
</worksheet>
</file>

<file path=xl/worksheets/sheet6.xml><?xml version="1.0" encoding="utf-8"?>
<worksheet xmlns="http://schemas.openxmlformats.org/spreadsheetml/2006/main">
  <sheetPr>
    <tabColor rgb="00B86046"/>
    <outlinePr summaryBelow="1" summaryRight="1"/>
    <pageSetUpPr/>
  </sheetPr>
  <dimension ref="B1:P2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2" customWidth="1" min="2" max="2"/>
    <col width="42" customWidth="1" min="3" max="3"/>
    <col width="30" customWidth="1" min="4" max="4"/>
    <col width="6" customWidth="1" min="5" max="5"/>
    <col width="10" customWidth="1" min="6" max="6"/>
    <col width="10" customWidth="1" min="7" max="7"/>
    <col width="8" customWidth="1" min="8" max="8"/>
    <col width="8" customWidth="1" min="9" max="9"/>
    <col width="8" customWidth="1" min="10" max="10"/>
    <col width="20" customWidth="1" min="11" max="11"/>
    <col width="10" customWidth="1" min="12" max="12"/>
    <col width="10" customWidth="1" min="13" max="13"/>
    <col width="28" customWidth="1" min="14" max="14"/>
    <col width="60" customWidth="1" min="15" max="15"/>
    <col width="55" customWidth="1" min="16" max="16"/>
  </cols>
  <sheetData>
    <row r="1">
      <c r="B1" s="1" t="inlineStr">
        <is>
          <t>Watchlist: screened, not on the board (re-checked Aug 14, 2026)</t>
        </is>
      </c>
      <c r="C1" s="2" t="n"/>
      <c r="D1" s="2" t="n"/>
      <c r="E1" s="2" t="n"/>
      <c r="F1" s="2" t="n"/>
      <c r="G1" s="2" t="n"/>
      <c r="H1" s="2" t="n"/>
      <c r="I1" s="2" t="n"/>
      <c r="J1" s="2" t="n"/>
      <c r="K1" s="2" t="n"/>
      <c r="L1" s="2" t="n"/>
      <c r="M1" s="2" t="n"/>
      <c r="N1" s="2" t="n"/>
      <c r="O1" s="2" t="n"/>
    </row>
    <row r="3">
      <c r="B3" s="5" t="inlineStr">
        <is>
          <t>Group</t>
        </is>
      </c>
      <c r="C3" s="5" t="inlineStr">
        <is>
          <t>Car</t>
        </is>
      </c>
      <c r="D3" s="5" t="inlineStr">
        <is>
          <t>Dealer</t>
        </is>
      </c>
      <c r="E3" s="5" t="inlineStr">
        <is>
          <t>State</t>
        </is>
      </c>
      <c r="F3" s="5" t="inlineStr">
        <is>
          <t>Price now</t>
        </is>
      </c>
      <c r="G3" s="5" t="inlineStr">
        <is>
          <t>Was</t>
        </is>
      </c>
      <c r="H3" s="5" t="inlineStr">
        <is>
          <t>Move</t>
        </is>
      </c>
      <c r="I3" s="5" t="inlineStr">
        <is>
          <t>Days listed</t>
        </is>
      </c>
      <c r="J3" s="5" t="inlineStr">
        <is>
          <t>Deal</t>
        </is>
      </c>
      <c r="K3" s="5" t="inlineStr">
        <is>
          <t>VIN</t>
        </is>
      </c>
      <c r="L3" s="5" t="inlineStr">
        <is>
          <t>Est. OTD</t>
        </is>
      </c>
      <c r="M3" s="5" t="inlineStr">
        <is>
          <t>/mo @ $0 dn</t>
        </is>
      </c>
      <c r="N3" s="5" t="inlineStr">
        <is>
          <t>History</t>
        </is>
      </c>
      <c r="O3" s="5" t="inlineStr">
        <is>
          <t>Why parked / watch-only</t>
        </is>
      </c>
      <c r="P3" s="5" t="inlineStr">
        <is>
          <t>URL</t>
        </is>
      </c>
    </row>
    <row r="4">
      <c r="B4" s="27" t="inlineStr">
        <is>
          <t>Screened and parked (10)</t>
        </is>
      </c>
      <c r="C4" s="28" t="n"/>
      <c r="D4" s="28" t="n"/>
      <c r="E4" s="28" t="n"/>
      <c r="F4" s="28" t="n"/>
      <c r="G4" s="28" t="n"/>
      <c r="H4" s="28" t="n"/>
      <c r="I4" s="28" t="n"/>
      <c r="J4" s="28" t="n"/>
      <c r="K4" s="28" t="n"/>
      <c r="L4" s="28" t="n"/>
      <c r="M4" s="28" t="n"/>
      <c r="N4" s="28" t="n"/>
      <c r="O4" s="28" t="n"/>
      <c r="P4" s="28" t="n"/>
    </row>
    <row r="5">
      <c r="C5" s="14" t="inlineStr">
        <is>
          <t>MY2021–2023 cars that passed the filters but lose to a numbered board car on miles, trim, history or location; re-priced on every sweep in case one moves.</t>
        </is>
      </c>
    </row>
    <row r="6">
      <c r="B6" s="7" t="inlineStr">
        <is>
          <t>Screened and parked</t>
        </is>
      </c>
      <c r="C6" s="7" t="inlineStr">
        <is>
          <t>2022 2.5 S Carbon Edition, 47,333 mi, $26,998+$200</t>
        </is>
      </c>
      <c r="D6" s="7" t="inlineStr">
        <is>
          <t>Doug's Lynnwood Mazda</t>
        </is>
      </c>
      <c r="E6" s="7" t="inlineStr">
        <is>
          <t>WA</t>
        </is>
      </c>
      <c r="F6" s="9" t="n">
        <v>27198</v>
      </c>
      <c r="G6" s="9" t="n">
        <v>27198</v>
      </c>
      <c r="H6" s="16" t="n">
        <v>0</v>
      </c>
      <c r="I6" s="6" t="n">
        <v>15</v>
      </c>
      <c r="J6" s="7" t="inlineStr">
        <is>
          <t>Fair</t>
        </is>
      </c>
      <c r="K6" s="29" t="n"/>
      <c r="L6" s="16" t="n"/>
      <c r="M6" s="16" t="n"/>
      <c r="N6" s="3" t="n"/>
      <c r="O6" s="3" t="inlineStr">
        <is>
          <t>Fair Deal rating, 47k mi; #7/#9 beat it on miles and CPO.</t>
        </is>
      </c>
      <c r="P6" s="7" t="inlineStr">
        <is>
          <t>https://www.cargurus.com/Cars/listing/454596751</t>
        </is>
      </c>
    </row>
    <row r="7">
      <c r="B7" s="7" t="inlineStr">
        <is>
          <t>Screened and parked</t>
        </is>
      </c>
      <c r="C7" s="7" t="inlineStr">
        <is>
          <t>Mazda CPO 2022 2.5 S Select, 48,468 mi, $24,081+$299</t>
        </is>
      </c>
      <c r="D7" s="7" t="inlineStr">
        <is>
          <t>West Hills Mazda, Bremerton</t>
        </is>
      </c>
      <c r="E7" s="7" t="inlineStr">
        <is>
          <t>WA</t>
        </is>
      </c>
      <c r="F7" s="9" t="n">
        <v>24081</v>
      </c>
      <c r="G7" s="9" t="n">
        <v>24081</v>
      </c>
      <c r="H7" s="16" t="n">
        <v>0</v>
      </c>
      <c r="I7" s="6" t="n"/>
      <c r="J7" s="7" t="n"/>
      <c r="K7" s="29" t="n"/>
      <c r="L7" s="16" t="n"/>
      <c r="M7" s="16" t="n"/>
      <c r="N7" s="3" t="n"/>
      <c r="O7" s="3" t="inlineStr">
        <is>
          <t>Cheapest Mazda-CPO car found, but Select trim (comfort-low) + 48k mi; budget backup only.</t>
        </is>
      </c>
      <c r="P7" s="7" t="inlineStr">
        <is>
          <t>https://www.autotrader.com/cars-for-sale/vehicle/786226153</t>
        </is>
      </c>
    </row>
    <row r="8">
      <c r="B8" s="7" t="inlineStr">
        <is>
          <t>Screened and parked</t>
        </is>
      </c>
      <c r="C8" s="7" t="inlineStr">
        <is>
          <t>2023 2.5 S Carbon Edition, 28,928 mi, $27,060+$200</t>
        </is>
      </c>
      <c r="D8" s="7" t="inlineStr">
        <is>
          <t>Titus-Will Used Cars - Olympia</t>
        </is>
      </c>
      <c r="E8" s="7" t="inlineStr">
        <is>
          <t>WA</t>
        </is>
      </c>
      <c r="F8" s="9" t="n">
        <v>27260</v>
      </c>
      <c r="G8" s="9" t="n">
        <v>27260</v>
      </c>
      <c r="H8" s="16" t="n">
        <v>0</v>
      </c>
      <c r="I8" s="6" t="n">
        <v>28</v>
      </c>
      <c r="J8" s="7" t="inlineStr">
        <is>
          <t>Good</t>
        </is>
      </c>
      <c r="K8" s="29" t="n"/>
      <c r="L8" s="16" t="n"/>
      <c r="M8" s="16" t="n"/>
      <c r="N8" s="3" t="n"/>
      <c r="O8" s="3" t="inlineStr">
        <is>
          <t>$1.6k of drops already; loses to #9 (CPO, same money).</t>
        </is>
      </c>
      <c r="P8" s="7" t="inlineStr">
        <is>
          <t>https://www.cargurus.com/Cars/listing/453420840</t>
        </is>
      </c>
    </row>
    <row r="9">
      <c r="B9" s="7" t="inlineStr">
        <is>
          <t>Screened and parked</t>
        </is>
      </c>
      <c r="C9" s="7" t="inlineStr">
        <is>
          <t>2023 2.5 S Carbon Edition, 23K mi, $28,998</t>
        </is>
      </c>
      <c r="D9" s="7" t="inlineStr">
        <is>
          <t>Rodland Toyota of Everett</t>
        </is>
      </c>
      <c r="E9" s="7" t="inlineStr">
        <is>
          <t>WA</t>
        </is>
      </c>
      <c r="F9" s="9" t="n">
        <v>28998</v>
      </c>
      <c r="G9" s="9" t="n">
        <v>28998</v>
      </c>
      <c r="H9" s="16" t="n">
        <v>0</v>
      </c>
      <c r="I9" s="6" t="n"/>
      <c r="J9" s="7" t="n"/>
      <c r="K9" s="29" t="n"/>
      <c r="L9" s="16" t="n"/>
      <c r="M9" s="16" t="n"/>
      <c r="N9" s="3" t="n"/>
      <c r="O9" s="3" t="inlineStr">
        <is>
          <t>At the cap before fees; #14 at the same store is the better comfort buy.</t>
        </is>
      </c>
      <c r="P9" s="7" t="inlineStr">
        <is>
          <t>https://www.autotrader.com/cars-for-sale/vehicle/787184706</t>
        </is>
      </c>
    </row>
    <row r="10">
      <c r="B10" s="7" t="inlineStr">
        <is>
          <t>Screened and parked</t>
        </is>
      </c>
      <c r="C10" s="7" t="inlineStr">
        <is>
          <t>2.5 S Preferred AWD (year unverified), 33,261 mi, $25,695+$200</t>
        </is>
      </c>
      <c r="D10" s="7" t="inlineStr">
        <is>
          <t>GoldBoyz Auto Sales, Puyallup (indie)</t>
        </is>
      </c>
      <c r="E10" s="7" t="inlineStr">
        <is>
          <t>WA</t>
        </is>
      </c>
      <c r="F10" s="9" t="n">
        <v>25895</v>
      </c>
      <c r="G10" s="9" t="n">
        <v>25895</v>
      </c>
      <c r="H10" s="16" t="n">
        <v>0</v>
      </c>
      <c r="I10" s="6" t="n">
        <v>71</v>
      </c>
      <c r="J10" s="7" t="inlineStr">
        <is>
          <t>Good</t>
        </is>
      </c>
      <c r="K10" s="29" t="n"/>
      <c r="L10" s="16" t="n"/>
      <c r="M10" s="16" t="n"/>
      <c r="N10" s="3" t="n"/>
      <c r="O10" s="3" t="inlineStr">
        <is>
          <t>Sponsored indie tile, 70 days on market; verify year + history before considering.</t>
        </is>
      </c>
      <c r="P10" s="7" t="inlineStr">
        <is>
          <t>https://www.cargurus.com/Cars/listing/449710675</t>
        </is>
      </c>
    </row>
    <row r="11">
      <c r="B11" s="7" t="inlineStr">
        <is>
          <t>Screened and parked</t>
        </is>
      </c>
      <c r="C11" s="7" t="inlineStr">
        <is>
          <t>2022 2.5 S Select, 28,548 mi, $24,995+$200</t>
        </is>
      </c>
      <c r="D11" s="7" t="inlineStr">
        <is>
          <t>Pacific Coast Auto Center, Burlington (indie)</t>
        </is>
      </c>
      <c r="E11" s="7" t="inlineStr">
        <is>
          <t>WA</t>
        </is>
      </c>
      <c r="F11" s="9" t="n">
        <v>25195</v>
      </c>
      <c r="G11" s="9" t="n">
        <v>25195</v>
      </c>
      <c r="H11" s="16" t="n">
        <v>0</v>
      </c>
      <c r="I11" s="6" t="n">
        <v>77</v>
      </c>
      <c r="J11" s="7" t="inlineStr">
        <is>
          <t>Fair</t>
        </is>
      </c>
      <c r="K11" s="29" t="n"/>
      <c r="L11" s="16" t="n"/>
      <c r="M11" s="16" t="n"/>
      <c r="N11" s="3" t="n"/>
      <c r="O11" s="3" t="inlineStr">
        <is>
          <t>Fair Deal, Select trim, 75 days; budget tier only.</t>
        </is>
      </c>
      <c r="P11" s="7" t="inlineStr">
        <is>
          <t>https://www.cargurus.com/Cars/listing/449233426</t>
        </is>
      </c>
    </row>
    <row r="12">
      <c r="B12" s="7" t="inlineStr">
        <is>
          <t>Screened and parked</t>
        </is>
      </c>
      <c r="C12" s="7" t="inlineStr">
        <is>
          <t>2021 Touring, 21,391 mi, $27,999-$28,199</t>
        </is>
      </c>
      <c r="D12" s="7" t="inlineStr">
        <is>
          <t>Mazda of Everett</t>
        </is>
      </c>
      <c r="E12" s="7" t="inlineStr">
        <is>
          <t>WA</t>
        </is>
      </c>
      <c r="F12" s="9" t="n">
        <v>27999</v>
      </c>
      <c r="G12" s="9" t="n">
        <v>27999</v>
      </c>
      <c r="H12" s="16" t="n">
        <v>0</v>
      </c>
      <c r="I12" s="6" t="n"/>
      <c r="J12" s="7" t="n"/>
      <c r="K12" s="29" t="n"/>
      <c r="L12" s="16" t="n"/>
      <c r="M12" s="16" t="n"/>
      <c r="N12" s="3" t="n"/>
      <c r="O12" s="3" t="inlineStr">
        <is>
          <t>Touring = below the comfort bar at a GT price.</t>
        </is>
      </c>
      <c r="P12" s="7" t="inlineStr">
        <is>
          <t>https://www.autotrader.com/cars-for-sale/vehicle/787834756</t>
        </is>
      </c>
    </row>
    <row r="13">
      <c r="B13" s="7" t="inlineStr">
        <is>
          <t>Screened and parked</t>
        </is>
      </c>
      <c r="C13" s="7" t="inlineStr">
        <is>
          <t>2021 Carbon Edition Turbo, 39,412 mi, $27,722</t>
        </is>
      </c>
      <c r="D13" s="7" t="inlineStr">
        <is>
          <t>Tonkin Gresham Honda</t>
        </is>
      </c>
      <c r="E13" s="7" t="inlineStr">
        <is>
          <t>OR</t>
        </is>
      </c>
      <c r="F13" s="9" t="n">
        <v>27722</v>
      </c>
      <c r="G13" s="9" t="n">
        <v>27722</v>
      </c>
      <c r="H13" s="16" t="n">
        <v>0</v>
      </c>
      <c r="I13" s="6" t="n"/>
      <c r="J13" s="7" t="n"/>
      <c r="K13" s="29" t="n"/>
      <c r="L13" s="16" t="n"/>
      <c r="M13" s="16" t="n"/>
      <c r="N13" s="3" t="n"/>
      <c r="O13" s="3" t="inlineStr">
        <is>
          <t>#4 is the same formula $1.6k cheaper.</t>
        </is>
      </c>
      <c r="P13" s="7" t="inlineStr">
        <is>
          <t>https://www.cars.com/vehicledetail/c5fca301-f2de-4480-801a-bed903370d40/</t>
        </is>
      </c>
    </row>
    <row r="14">
      <c r="B14" s="7" t="inlineStr">
        <is>
          <t>Screened and parked</t>
        </is>
      </c>
      <c r="C14" s="7" t="inlineStr">
        <is>
          <t>2023 2.5 S Carbon Edition, 32,594 mi, $27,400</t>
        </is>
      </c>
      <c r="D14" s="7" t="inlineStr">
        <is>
          <t>Lexus of Portland</t>
        </is>
      </c>
      <c r="E14" s="7" t="inlineStr">
        <is>
          <t>OR</t>
        </is>
      </c>
      <c r="F14" s="9" t="n"/>
      <c r="G14" s="9" t="n">
        <v>27400</v>
      </c>
      <c r="H14" s="16" t="n"/>
      <c r="I14" s="6" t="n"/>
      <c r="J14" s="7" t="n"/>
      <c r="K14" s="29" t="n"/>
      <c r="L14" s="16" t="n"/>
      <c r="M14" s="16" t="n"/>
      <c r="N14" s="3" t="n"/>
      <c r="O14" s="3" t="inlineStr">
        <is>
          <t>OR, loses to #9 (WA + CPO) at the same money.</t>
        </is>
      </c>
      <c r="P14" s="7" t="inlineStr">
        <is>
          <t>https://www.cars.com/vehicledetail/094ebb74-c5d0-4fa6-91f5-9b677cc9e444/</t>
        </is>
      </c>
    </row>
    <row r="15">
      <c r="B15" s="7" t="inlineStr">
        <is>
          <t>Screened and parked</t>
        </is>
      </c>
      <c r="C15" s="7" t="inlineStr">
        <is>
          <t>2023 2.5 S Select, 13,555 mi, $25,950</t>
        </is>
      </c>
      <c r="D15" s="7" t="inlineStr">
        <is>
          <t>Lexus of Portland</t>
        </is>
      </c>
      <c r="E15" s="7" t="inlineStr">
        <is>
          <t>OR</t>
        </is>
      </c>
      <c r="F15" s="9" t="n">
        <v>25950</v>
      </c>
      <c r="G15" s="9" t="n">
        <v>25950</v>
      </c>
      <c r="H15" s="16" t="n">
        <v>0</v>
      </c>
      <c r="I15" s="6" t="n"/>
      <c r="J15" s="7" t="n"/>
      <c r="K15" s="29" t="n"/>
      <c r="L15" s="16" t="n"/>
      <c r="M15" s="16" t="n"/>
      <c r="N15" s="3" t="n"/>
      <c r="O15" s="3" t="inlineStr">
        <is>
          <t>Lowest-mile car found, but Select trim + OR.</t>
        </is>
      </c>
      <c r="P15" s="7" t="inlineStr">
        <is>
          <t>https://www.cars.com/vehicledetail/59d3b36d-7131-439c-a3b7-7b91343a454d/</t>
        </is>
      </c>
    </row>
    <row r="17">
      <c r="B17" s="27" t="inlineStr">
        <is>
          <t>2024 model year: watch only (checked Aug 12) (3)</t>
        </is>
      </c>
      <c r="C17" s="28" t="n"/>
      <c r="D17" s="28" t="n"/>
      <c r="E17" s="28" t="n"/>
      <c r="F17" s="28" t="n"/>
      <c r="G17" s="28" t="n"/>
      <c r="H17" s="28" t="n"/>
      <c r="I17" s="28" t="n"/>
      <c r="J17" s="28" t="n"/>
      <c r="K17" s="28" t="n"/>
      <c r="L17" s="28" t="n"/>
      <c r="M17" s="28" t="n"/>
      <c r="N17" s="28" t="n"/>
      <c r="O17" s="28" t="n"/>
      <c r="P17" s="28" t="n"/>
    </row>
    <row r="18">
      <c r="C18" s="14" t="inlineStr">
        <is>
          <t>A separate Aug 12 read-only sweep of used 2024 CX-5s (263 VINs; 40 at WA/OR dealers) found no verified-clean, non-rental Preferred / Carbon / Premium under 40k mi that lands at or below the finalists’ est. out-the-door range, so 2024s stay off the numbered board. These three are the ones worth watching; est. OTD = price × (1 + dealer-city rate) + $200 doc + $600 licence, monthly at 6.30% / 60 mo. About 11% of 2024s with a disclosed history are ex-rental or fleet, concentrated in Select / Carbon Edition under $26.5k, so any cheap 2024 needs the Carfax owner-type line first.</t>
        </is>
      </c>
    </row>
    <row r="19">
      <c r="B19" s="7" t="inlineStr">
        <is>
          <t>2024 model year</t>
        </is>
      </c>
      <c r="C19" s="7" t="inlineStr">
        <is>
          <t>2024 2.5 S Premium, 18,281 mi, $28,779 ($28,979 on CarGurus w/ doc)</t>
        </is>
      </c>
      <c r="D19" s="7" t="inlineStr">
        <is>
          <t>Seattle Finest Motors, Lynnwood (indie)</t>
        </is>
      </c>
      <c r="E19" s="7" t="inlineStr">
        <is>
          <t>WA</t>
        </is>
      </c>
      <c r="F19" s="9" t="n">
        <v>28779</v>
      </c>
      <c r="G19" s="9" t="n">
        <v>28779</v>
      </c>
      <c r="H19" s="16" t="n">
        <v>0</v>
      </c>
      <c r="I19" s="6" t="n">
        <v>9</v>
      </c>
      <c r="J19" s="7" t="inlineStr">
        <is>
          <t>Good</t>
        </is>
      </c>
      <c r="K19" s="29" t="inlineStr">
        <is>
          <t>JM3KFBDM7R0396688</t>
        </is>
      </c>
      <c r="L19" s="16" t="n">
        <v>32802</v>
      </c>
      <c r="M19" s="16" t="n">
        <v>639</v>
      </c>
      <c r="N19" s="3" t="inlineStr">
        <is>
          <t>1-own / 0 acc / rental: no (CG flags false)</t>
        </is>
      </c>
      <c r="O19" s="3" t="inlineStr">
        <is>
          <t>Cheapest verified-clean 2024 Premium (1-owner, 0 accidents, CarGurus fleet/rental flags false, 64 photos); est. OTD lands roughly $800 over #14, Rodland’s 2023 Premium with the same miles, and above every finalist. Independent lot and an early build (VIN R039…), so ask for the in-service date before valuing the extra warranty year.</t>
        </is>
      </c>
      <c r="P19" s="7" t="inlineStr">
        <is>
          <t>https://www.cargurus.com/Cars/listing/455108730</t>
        </is>
      </c>
    </row>
    <row r="20">
      <c r="B20" s="7" t="inlineStr">
        <is>
          <t>2024 model year</t>
        </is>
      </c>
      <c r="C20" s="7" t="inlineStr">
        <is>
          <t>2024 2.5 S Carbon Edition, 35,542 mi, $25,814</t>
        </is>
      </c>
      <c r="D20" s="7" t="inlineStr">
        <is>
          <t>Volkswagen of McMinnville, McMinnville</t>
        </is>
      </c>
      <c r="E20" s="7" t="inlineStr">
        <is>
          <t>OR</t>
        </is>
      </c>
      <c r="F20" s="9" t="n">
        <v>25814</v>
      </c>
      <c r="G20" s="9" t="n">
        <v>25814</v>
      </c>
      <c r="H20" s="16" t="n">
        <v>0</v>
      </c>
      <c r="I20" s="6" t="n">
        <v>26</v>
      </c>
      <c r="J20" s="7" t="n"/>
      <c r="K20" s="29" t="inlineStr">
        <is>
          <t>JM3KFBCL9R0527404</t>
        </is>
      </c>
      <c r="L20" s="16" t="n">
        <v>29466</v>
      </c>
      <c r="M20" s="16" t="n">
        <v>574</v>
      </c>
      <c r="N20" s="3" t="inlineStr">
        <is>
          <t>1-own / 0 acc / rental: unknown</t>
        </is>
      </c>
      <c r="O20" s="3" t="inlineStr">
        <is>
          <t>Clean on KBB (1-owner, no accidents, +$196 vs FPP) and the only sub-$30k-OTD 2024 above Select with under 40k mi in the region, but 1-owner + 35.5k mi + Carbon Edition on a VW lot fits the ex-rental profile: needs the Carfax owner-type line before anything else. Oregon dealer = email only; 11.05% WA use tax at registration.</t>
        </is>
      </c>
      <c r="P20" s="7" t="inlineStr">
        <is>
          <t>https://www.kbb.com/cars-for-sale/vehicle/785745356</t>
        </is>
      </c>
    </row>
    <row r="21">
      <c r="B21" s="7" t="inlineStr">
        <is>
          <t>2024 model year</t>
        </is>
      </c>
      <c r="C21" s="7" t="inlineStr">
        <is>
          <t>2024 2.5 Carbon Turbo (listed as “Carbon Edition”), 18,446 mi, $29,500</t>
        </is>
      </c>
      <c r="D21" s="7" t="inlineStr">
        <is>
          <t>McCurley Chevrolet, Pasco</t>
        </is>
      </c>
      <c r="E21" s="7" t="inlineStr">
        <is>
          <t>WA</t>
        </is>
      </c>
      <c r="F21" s="9" t="n">
        <v>29500</v>
      </c>
      <c r="G21" s="9" t="n">
        <v>29500</v>
      </c>
      <c r="H21" s="16" t="n">
        <v>0</v>
      </c>
      <c r="I21" s="6" t="n">
        <v>5</v>
      </c>
      <c r="J21" s="7" t="inlineStr">
        <is>
          <t>Great</t>
        </is>
      </c>
      <c r="K21" s="29" t="inlineStr">
        <is>
          <t>JM3KFBAY0R0350370</t>
        </is>
      </c>
      <c r="L21" s="16" t="n">
        <v>33560</v>
      </c>
      <c r="M21" s="16" t="n">
        <v>654</v>
      </c>
      <c r="N21" s="3" t="inlineStr">
        <is>
          <t>1-own / 0 acc / rental: unknown / dealer-certified (not Mazda CPO)</t>
        </is>
      </c>
      <c r="O21" s="3" t="inlineStr">
        <is>
          <t>VIN decodes as the Carbon Turbo although the listing says Carbon Edition; ~$3.9k under KBB FPP ($33,430), 1-owner / 0 accidents, GM-dealer “certified” (not Mazda CPO), 5 days listed. Stretch outlier: est. OTD $33,560 at the default rate is over the $32k ceiling and the car is ~215 road-miles away.</t>
        </is>
      </c>
      <c r="P21" s="7" t="inlineStr">
        <is>
          <t>https://www.kbb.com/cars-for-sale/vehicle/787560771</t>
        </is>
      </c>
    </row>
  </sheetData>
  <pageMargins left="0.75" right="0.75" top="1" bottom="1" header="0.5" footer="0.5"/>
</worksheet>
</file>

<file path=xl/worksheets/sheet7.xml><?xml version="1.0" encoding="utf-8"?>
<worksheet xmlns="http://schemas.openxmlformats.org/spreadsheetml/2006/main">
  <sheetPr>
    <tabColor rgb="00B86046"/>
    <outlinePr summaryBelow="1" summaryRight="1"/>
    <pageSetUpPr/>
  </sheetPr>
  <dimension ref="B1:O2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6" customWidth="1" min="2" max="2"/>
    <col width="24" customWidth="1" min="3" max="3"/>
    <col width="12" customWidth="1" min="4" max="4"/>
    <col width="14" customWidth="1" min="5" max="5"/>
    <col width="16" customWidth="1" min="6" max="6"/>
    <col width="12" customWidth="1" min="7" max="7"/>
    <col width="16" customWidth="1" min="8" max="8"/>
    <col width="10" customWidth="1" min="9" max="9"/>
    <col width="8" customWidth="1" min="10" max="10"/>
  </cols>
  <sheetData>
    <row r="1">
      <c r="B1" s="1" t="inlineStr">
        <is>
          <t>KBB fair purchase price vs. lowest clean live listing (Aug 14, 2026)</t>
        </is>
      </c>
      <c r="C1" s="2" t="n"/>
      <c r="D1" s="2" t="n"/>
      <c r="E1" s="2" t="n"/>
      <c r="F1" s="2" t="n"/>
      <c r="G1" s="2" t="n"/>
      <c r="H1" s="2" t="n"/>
      <c r="I1" s="2" t="n"/>
      <c r="J1" s="2" t="n"/>
      <c r="K1" s="2" t="n"/>
      <c r="L1" s="2" t="n"/>
      <c r="M1" s="2" t="n"/>
      <c r="N1" s="2" t="n"/>
      <c r="O1" s="2" t="n"/>
    </row>
    <row r="3">
      <c r="B3" s="5" t="inlineStr">
        <is>
          <t>Year</t>
        </is>
      </c>
      <c r="C3" s="5" t="inlineStr">
        <is>
          <t>Trim</t>
        </is>
      </c>
      <c r="D3" s="5" t="inlineStr">
        <is>
          <t>KBB nat'l FPP</t>
        </is>
      </c>
      <c r="E3" s="5" t="inlineStr">
        <is>
          <t>KBB Seattle FPP</t>
        </is>
      </c>
      <c r="F3" s="5" t="inlineStr">
        <is>
          <t>Lowest clean listing</t>
        </is>
      </c>
      <c r="G3" s="5" t="inlineStr">
        <is>
          <t>Source</t>
        </is>
      </c>
      <c r="H3" s="5" t="inlineStr">
        <is>
          <t>Δ vs Seattle (or nat’l)</t>
        </is>
      </c>
      <c r="I3" s="5" t="inlineStr">
        <is>
          <t>vs national?</t>
        </is>
      </c>
      <c r="J3" s="5" t="inlineStr">
        <is>
          <t>Listings</t>
        </is>
      </c>
    </row>
    <row r="4">
      <c r="B4" s="8" t="n">
        <v>2021</v>
      </c>
      <c r="C4" s="7" t="inlineStr">
        <is>
          <t>Touring</t>
        </is>
      </c>
      <c r="D4" s="9" t="n">
        <v>18600</v>
      </c>
      <c r="E4" s="9" t="n">
        <v>25809</v>
      </c>
      <c r="F4" s="9" t="n">
        <v>23998</v>
      </c>
      <c r="G4" s="7" t="inlineStr">
        <is>
          <t>CarMax</t>
        </is>
      </c>
      <c r="H4" s="16">
        <f>F4-IF(E4&gt;0,E4,D4)</f>
        <v/>
      </c>
      <c r="I4" s="7" t="inlineStr"/>
      <c r="J4" s="6" t="n">
        <v>10</v>
      </c>
    </row>
    <row r="5">
      <c r="B5" s="8" t="n">
        <v>2021</v>
      </c>
      <c r="C5" s="7" t="inlineStr">
        <is>
          <t>Grand Touring</t>
        </is>
      </c>
      <c r="D5" s="9" t="n">
        <v>19900</v>
      </c>
      <c r="E5" s="9" t="n">
        <v>27552</v>
      </c>
      <c r="F5" s="9" t="n">
        <v>24998</v>
      </c>
      <c r="G5" s="7" t="inlineStr">
        <is>
          <t>CarMax</t>
        </is>
      </c>
      <c r="H5" s="16">
        <f>F5-IF(E5&gt;0,E5,D5)</f>
        <v/>
      </c>
      <c r="I5" s="7" t="inlineStr"/>
      <c r="J5" s="6" t="n">
        <v>8</v>
      </c>
    </row>
    <row r="6">
      <c r="B6" s="8" t="n">
        <v>2021</v>
      </c>
      <c r="C6" s="7" t="inlineStr">
        <is>
          <t>Carbon Edition</t>
        </is>
      </c>
      <c r="D6" s="9" t="n">
        <v>21100</v>
      </c>
      <c r="E6" s="9" t="n">
        <v>28678</v>
      </c>
      <c r="F6" s="9" t="n"/>
      <c r="G6" s="7" t="n"/>
      <c r="H6" s="16" t="n"/>
      <c r="I6" s="7" t="inlineStr"/>
      <c r="J6" s="6" t="n">
        <v>0</v>
      </c>
    </row>
    <row r="7">
      <c r="B7" s="8" t="n">
        <v>2021</v>
      </c>
      <c r="C7" s="7" t="inlineStr">
        <is>
          <t>Carbon Ed Turbo</t>
        </is>
      </c>
      <c r="D7" s="9" t="n">
        <v>21700</v>
      </c>
      <c r="E7" s="9" t="n"/>
      <c r="F7" s="9" t="n">
        <v>24948</v>
      </c>
      <c r="G7" s="7" t="inlineStr">
        <is>
          <t>#6</t>
        </is>
      </c>
      <c r="H7" s="16">
        <f>F7-IF(E7&gt;0,E7,D7)</f>
        <v/>
      </c>
      <c r="I7" s="7" t="inlineStr">
        <is>
          <t>yes</t>
        </is>
      </c>
      <c r="J7" s="6" t="n">
        <v>4</v>
      </c>
    </row>
    <row r="8">
      <c r="B8" s="8" t="n">
        <v>2021</v>
      </c>
      <c r="C8" s="7" t="inlineStr">
        <is>
          <t>GT Reserve (turbo)</t>
        </is>
      </c>
      <c r="D8" s="9" t="n">
        <v>21800</v>
      </c>
      <c r="E8" s="9" t="n">
        <v>27770</v>
      </c>
      <c r="F8" s="9" t="n">
        <v>25998</v>
      </c>
      <c r="G8" s="7" t="inlineStr">
        <is>
          <t>CarMax</t>
        </is>
      </c>
      <c r="H8" s="16">
        <f>F8-IF(E8&gt;0,E8,D8)</f>
        <v/>
      </c>
      <c r="I8" s="7" t="inlineStr"/>
      <c r="J8" s="6" t="n">
        <v>1</v>
      </c>
    </row>
    <row r="9">
      <c r="B9" s="8" t="n">
        <v>2021</v>
      </c>
      <c r="C9" s="7" t="inlineStr">
        <is>
          <t>Signature (turbo)</t>
        </is>
      </c>
      <c r="D9" s="9" t="n">
        <v>21700</v>
      </c>
      <c r="E9" s="9" t="n">
        <v>25041</v>
      </c>
      <c r="F9" s="9" t="n">
        <v>25999</v>
      </c>
      <c r="G9" s="7" t="inlineStr">
        <is>
          <t>#21</t>
        </is>
      </c>
      <c r="H9" s="16">
        <f>F9-IF(E9&gt;0,E9,D9)</f>
        <v/>
      </c>
      <c r="I9" s="7" t="inlineStr"/>
      <c r="J9" s="6" t="n">
        <v>3</v>
      </c>
    </row>
    <row r="10">
      <c r="B10" s="8" t="n">
        <v>2022</v>
      </c>
      <c r="C10" s="7" t="inlineStr">
        <is>
          <t>2.5 S Preferred</t>
        </is>
      </c>
      <c r="D10" s="9" t="n">
        <v>21800</v>
      </c>
      <c r="E10" s="9" t="n"/>
      <c r="F10" s="9" t="n">
        <v>26219</v>
      </c>
      <c r="G10" s="7" t="inlineStr">
        <is>
          <t>CarGurus</t>
        </is>
      </c>
      <c r="H10" s="16">
        <f>F10-IF(E10&gt;0,E10,D10)</f>
        <v/>
      </c>
      <c r="I10" s="7" t="inlineStr">
        <is>
          <t>yes</t>
        </is>
      </c>
      <c r="J10" s="6" t="n">
        <v>2</v>
      </c>
    </row>
    <row r="11">
      <c r="B11" s="8" t="n">
        <v>2022</v>
      </c>
      <c r="C11" s="7" t="inlineStr">
        <is>
          <t>2.5 S Premium</t>
        </is>
      </c>
      <c r="D11" s="9" t="n">
        <v>22500</v>
      </c>
      <c r="E11" s="9" t="n"/>
      <c r="F11" s="9" t="n">
        <v>26998</v>
      </c>
      <c r="G11" s="7" t="inlineStr">
        <is>
          <t>CarMax</t>
        </is>
      </c>
      <c r="H11" s="16">
        <f>F11-IF(E11&gt;0,E11,D11)</f>
        <v/>
      </c>
      <c r="I11" s="7" t="inlineStr">
        <is>
          <t>yes</t>
        </is>
      </c>
      <c r="J11" s="6" t="n">
        <v>2</v>
      </c>
    </row>
    <row r="12">
      <c r="B12" s="8" t="n">
        <v>2022</v>
      </c>
      <c r="C12" s="7" t="inlineStr">
        <is>
          <t>2.5 S Premium Plus</t>
        </is>
      </c>
      <c r="D12" s="9" t="n">
        <v>23200</v>
      </c>
      <c r="E12" s="9" t="n">
        <v>27000</v>
      </c>
      <c r="F12" s="9" t="n">
        <v>25998</v>
      </c>
      <c r="G12" s="7" t="inlineStr">
        <is>
          <t>CarMax</t>
        </is>
      </c>
      <c r="H12" s="16">
        <f>F12-IF(E12&gt;0,E12,D12)</f>
        <v/>
      </c>
      <c r="I12" s="7" t="inlineStr"/>
      <c r="J12" s="6" t="n">
        <v>2</v>
      </c>
    </row>
    <row r="13">
      <c r="B13" s="8" t="n">
        <v>2022</v>
      </c>
      <c r="C13" s="7" t="inlineStr">
        <is>
          <t>2.5 S Carbon Edition</t>
        </is>
      </c>
      <c r="D13" s="9" t="n">
        <v>22900</v>
      </c>
      <c r="E13" s="9" t="n">
        <v>25934</v>
      </c>
      <c r="F13" s="9" t="n">
        <v>25998</v>
      </c>
      <c r="G13" s="7" t="inlineStr">
        <is>
          <t>CarMax</t>
        </is>
      </c>
      <c r="H13" s="16">
        <f>F13-IF(E13&gt;0,E13,D13)</f>
        <v/>
      </c>
      <c r="I13" s="7" t="inlineStr"/>
      <c r="J13" s="6" t="n">
        <v>8</v>
      </c>
    </row>
    <row r="14">
      <c r="B14" s="8" t="n">
        <v>2022</v>
      </c>
      <c r="C14" s="7" t="inlineStr">
        <is>
          <t>2.5 Turbo</t>
        </is>
      </c>
      <c r="D14" s="9" t="n">
        <v>22900</v>
      </c>
      <c r="E14" s="9" t="n">
        <v>27370</v>
      </c>
      <c r="F14" s="9" t="n">
        <v>25998</v>
      </c>
      <c r="G14" s="7" t="inlineStr">
        <is>
          <t>CarMax</t>
        </is>
      </c>
      <c r="H14" s="16">
        <f>F14-IF(E14&gt;0,E14,D14)</f>
        <v/>
      </c>
      <c r="I14" s="7" t="inlineStr"/>
      <c r="J14" s="6" t="n">
        <v>1</v>
      </c>
    </row>
    <row r="15">
      <c r="B15" s="8" t="n">
        <v>2023</v>
      </c>
      <c r="C15" s="7" t="inlineStr">
        <is>
          <t>2.5 S Preferred</t>
        </is>
      </c>
      <c r="D15" s="9" t="n">
        <v>23400</v>
      </c>
      <c r="E15" s="9" t="n"/>
      <c r="F15" s="9" t="n">
        <v>24095</v>
      </c>
      <c r="G15" s="7" t="inlineStr">
        <is>
          <t>#10</t>
        </is>
      </c>
      <c r="H15" s="16">
        <f>F15-IF(E15&gt;0,E15,D15)</f>
        <v/>
      </c>
      <c r="I15" s="7" t="inlineStr">
        <is>
          <t>yes</t>
        </is>
      </c>
      <c r="J15" s="6" t="n">
        <v>10</v>
      </c>
    </row>
    <row r="16">
      <c r="B16" s="8" t="n">
        <v>2023</v>
      </c>
      <c r="C16" s="7" t="inlineStr">
        <is>
          <t>2.5 S Premium</t>
        </is>
      </c>
      <c r="D16" s="9" t="n">
        <v>24500</v>
      </c>
      <c r="E16" s="9" t="n">
        <v>27825</v>
      </c>
      <c r="F16" s="9" t="n">
        <v>25998</v>
      </c>
      <c r="G16" s="7" t="inlineStr">
        <is>
          <t>CarMax</t>
        </is>
      </c>
      <c r="H16" s="16">
        <f>F16-IF(E16&gt;0,E16,D16)</f>
        <v/>
      </c>
      <c r="I16" s="7" t="inlineStr"/>
      <c r="J16" s="6" t="n">
        <v>6</v>
      </c>
    </row>
    <row r="17">
      <c r="B17" s="8" t="n">
        <v>2023</v>
      </c>
      <c r="C17" s="7" t="inlineStr">
        <is>
          <t>2.5 S Premium Plus</t>
        </is>
      </c>
      <c r="D17" s="9" t="n">
        <v>26100</v>
      </c>
      <c r="E17" s="9" t="n">
        <v>30161</v>
      </c>
      <c r="F17" s="9" t="n">
        <v>28915</v>
      </c>
      <c r="G17" s="7" t="inlineStr">
        <is>
          <t>CarGurus</t>
        </is>
      </c>
      <c r="H17" s="16">
        <f>F17-IF(E17&gt;0,E17,D17)</f>
        <v/>
      </c>
      <c r="I17" s="7" t="inlineStr"/>
      <c r="J17" s="6" t="n">
        <v>2</v>
      </c>
    </row>
    <row r="18">
      <c r="B18" s="8" t="n">
        <v>2023</v>
      </c>
      <c r="C18" s="7" t="inlineStr">
        <is>
          <t>2.5 S Carbon Edition</t>
        </is>
      </c>
      <c r="D18" s="9" t="n">
        <v>24600</v>
      </c>
      <c r="E18" s="9" t="n">
        <v>27373</v>
      </c>
      <c r="F18" s="9" t="n">
        <v>25998</v>
      </c>
      <c r="G18" s="7" t="inlineStr">
        <is>
          <t>CarMax</t>
        </is>
      </c>
      <c r="H18" s="16">
        <f>F18-IF(E18&gt;0,E18,D18)</f>
        <v/>
      </c>
      <c r="I18" s="7" t="inlineStr"/>
      <c r="J18" s="6" t="n">
        <v>9</v>
      </c>
    </row>
    <row r="19">
      <c r="B19" s="8" t="n">
        <v>2023</v>
      </c>
      <c r="C19" s="7" t="inlineStr">
        <is>
          <t>2.5 Turbo</t>
        </is>
      </c>
      <c r="D19" s="9" t="n">
        <v>25900</v>
      </c>
      <c r="E19" s="9" t="n">
        <v>30980</v>
      </c>
      <c r="F19" s="9" t="n">
        <v>27919</v>
      </c>
      <c r="G19" s="7" t="inlineStr">
        <is>
          <t>#1</t>
        </is>
      </c>
      <c r="H19" s="16">
        <f>F19-IF(E19&gt;0,E19,D19)</f>
        <v/>
      </c>
      <c r="I19" s="7" t="inlineStr"/>
      <c r="J19" s="6" t="n">
        <v>2</v>
      </c>
    </row>
    <row r="21">
      <c r="B21" s="14" t="inlineStr">
        <is>
          <t>¹ Seattle FPP = mean of per-listing kbbFppAmount from KBB search results (n=1–5 per cell).</t>
        </is>
      </c>
    </row>
    <row r="22">
      <c r="B22" s="14" t="inlineStr">
        <is>
          <t>² No Seattle FPP for this cell; Δ shown vs national — national is systematically ~$3–5k low (default-zip, higher-mileage assumption), so treat these as “at market,” not overpriced.</t>
        </is>
      </c>
    </row>
  </sheetData>
  <pageMargins left="0.75" right="0.75" top="1" bottom="1" header="0.5" footer="0.5"/>
</worksheet>
</file>

<file path=xl/worksheets/sheet8.xml><?xml version="1.0" encoding="utf-8"?>
<worksheet xmlns="http://schemas.openxmlformats.org/spreadsheetml/2006/main">
  <sheetPr>
    <tabColor rgb="00B86046"/>
    <outlinePr summaryBelow="1" summaryRight="1"/>
    <pageSetUpPr/>
  </sheetPr>
  <dimension ref="B1:O3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16" customWidth="1" min="2" max="2"/>
    <col width="20" customWidth="1" min="3" max="3"/>
    <col width="12" customWidth="1" min="4" max="4"/>
    <col width="100" customWidth="1" min="5" max="5"/>
  </cols>
  <sheetData>
    <row r="1">
      <c r="B1" s="1" t="inlineStr">
        <is>
          <t>Sources &amp; method</t>
        </is>
      </c>
      <c r="C1" s="2" t="n"/>
      <c r="D1" s="2" t="n"/>
      <c r="E1" s="2" t="n"/>
      <c r="F1" s="2" t="n"/>
      <c r="G1" s="2" t="n"/>
      <c r="H1" s="2" t="n"/>
      <c r="I1" s="2" t="n"/>
      <c r="J1" s="2" t="n"/>
      <c r="K1" s="2" t="n"/>
      <c r="L1" s="2" t="n"/>
      <c r="M1" s="2" t="n"/>
      <c r="N1" s="2" t="n"/>
      <c r="O1" s="2" t="n"/>
    </row>
    <row r="3">
      <c r="B3" s="5" t="inlineStr">
        <is>
          <t>Source</t>
        </is>
      </c>
      <c r="C3" s="5" t="inlineStr">
        <is>
          <t>Status</t>
        </is>
      </c>
      <c r="D3" s="5" t="inlineStr">
        <is>
          <t>Pulled (Aug 7)</t>
        </is>
      </c>
      <c r="E3" s="5" t="inlineStr">
        <is>
          <t>What it added</t>
        </is>
      </c>
    </row>
    <row r="4">
      <c r="B4" s="7" t="inlineStr">
        <is>
          <t>AutoTempest</t>
        </is>
      </c>
      <c r="C4" s="7" t="inlineStr">
        <is>
          <t>ok</t>
        </is>
      </c>
      <c r="D4" s="30" t="n">
        <v>77</v>
      </c>
      <c r="E4" s="3" t="inlineStr">
        <is>
          <t>Aggregator seed — Cars.com / CarGurus / TrueCar / Carvana / CarSoup / AutoByTel VINs in one shot</t>
        </is>
      </c>
    </row>
    <row r="5">
      <c r="B5" s="7" t="inlineStr">
        <is>
          <t>CarGurus</t>
        </is>
      </c>
      <c r="C5" s="7" t="inlineStr">
        <is>
          <t>ok (VDPs only)</t>
        </is>
      </c>
      <c r="D5" s="30" t="n">
        <v>41</v>
      </c>
      <c r="E5" s="3" t="inlineStr">
        <is>
          <t>Richest per-car data: accidents, owners, CPO, photo count, days-on-lot, $-below-market. Search page is DataDome-blocked; detail pages fetched via AutoTempest listing IDs</t>
        </is>
      </c>
    </row>
    <row r="6">
      <c r="B6" s="7" t="inlineStr">
        <is>
          <t>CarMax</t>
        </is>
      </c>
      <c r="C6" s="7" t="inlineStr">
        <is>
          <t>ok</t>
        </is>
      </c>
      <c r="D6" s="30" t="n">
        <v>72</v>
      </c>
      <c r="E6" s="3" t="inlineStr">
        <is>
          <t>National no-haggle floor via /cars/api/search/run JSON API. Transfer fees per unit</t>
        </is>
      </c>
    </row>
    <row r="7">
      <c r="B7" s="7" t="inlineStr">
        <is>
          <t>Carvana</t>
        </is>
      </c>
      <c r="C7" s="7" t="inlineStr">
        <is>
          <t>blocked (fallback ok)</t>
        </is>
      </c>
      <c r="D7" s="30" t="n">
        <v>10</v>
      </c>
      <c r="E7" s="3" t="inlineStr">
        <is>
          <t>Cloudflare Turnstile on carvana.com; 10 listings recovered via AutoTempest</t>
        </is>
      </c>
    </row>
    <row r="8">
      <c r="B8" s="7" t="inlineStr">
        <is>
          <t>KBB</t>
        </is>
      </c>
      <c r="C8" s="7" t="inlineStr">
        <is>
          <t>ok</t>
        </is>
      </c>
      <c r="D8" s="30" t="n">
        <v>47</v>
      </c>
      <c r="E8" s="3" t="inlineStr">
        <is>
          <t>Round-2 win. Per-listing KBB Fair Purchase Price + delta, price-drop history, AutoCheck vhrPreview (accidents / 1-owner), CPO flag. Cox backend = Autotrader inventory</t>
        </is>
      </c>
    </row>
    <row r="9">
      <c r="B9" s="7" t="inlineStr">
        <is>
          <t>iSeeCars</t>
        </is>
      </c>
      <c r="C9" s="7" t="inlineStr">
        <is>
          <t>ok</t>
        </is>
      </c>
      <c r="D9" s="30" t="n">
        <v>20</v>
      </c>
      <c r="E9" s="3" t="inlineStr">
        <is>
          <t>Price/miles only (no VIN on search page). 15/20 soft-matched to existing VINs — confirmed cross-listing, no net-new inventory</t>
        </is>
      </c>
    </row>
    <row r="10">
      <c r="B10" s="7" t="inlineStr">
        <is>
          <t>Craigslist</t>
        </is>
      </c>
      <c r="C10" s="7" t="inlineStr">
        <is>
          <t>ok</t>
        </is>
      </c>
      <c r="D10" s="30" t="n">
        <v>11</v>
      </c>
      <c r="E10" s="3" t="inlineStr">
        <is>
          <t>All dealer reposts (Royal Moore, Mazda of Gladstone, Ron Tonkin). No private-party CX-5s in range. No VINs on search page</t>
        </is>
      </c>
    </row>
    <row r="11">
      <c r="B11" s="7" t="inlineStr">
        <is>
          <t>Autotrader</t>
        </is>
      </c>
      <c r="C11" s="7" t="inlineStr">
        <is>
          <t>blocked</t>
        </is>
      </c>
      <c r="D11" s="30" t="n">
        <v>0</v>
      </c>
      <c r="E11" s="3" t="inlineStr">
        <is>
          <t>Akamai bot-block (headful too). Same Cox inventory as KBB — covered</t>
        </is>
      </c>
    </row>
    <row r="12">
      <c r="B12" s="7" t="inlineStr">
        <is>
          <t>Edmunds</t>
        </is>
      </c>
      <c r="C12" s="7" t="inlineStr">
        <is>
          <t>blocked</t>
        </is>
      </c>
      <c r="D12" s="30" t="n">
        <v>0</v>
      </c>
      <c r="E12" s="3" t="inlineStr">
        <is>
          <t>403 edge/WAF, IP-based. Tried headless, headful, direct API</t>
        </is>
      </c>
    </row>
    <row r="13">
      <c r="B13" s="7" t="inlineStr">
        <is>
          <t>Cars.com (VDPs)</t>
        </is>
      </c>
      <c r="C13" s="7" t="inlineStr">
        <is>
          <t>blocked</t>
        </is>
      </c>
      <c r="D13" s="30" t="n">
        <v>0</v>
      </c>
      <c r="E13" s="3" t="inlineStr">
        <is>
          <t>Cloudflare challenge on detail pages. Search-page data via AutoTempest is fine (18 listings)</t>
        </is>
      </c>
    </row>
    <row r="14">
      <c r="B14" s="7" t="inlineStr">
        <is>
          <t>TrueCar</t>
        </is>
      </c>
      <c r="C14" s="7" t="inlineStr">
        <is>
          <t>blocked</t>
        </is>
      </c>
      <c r="D14" s="30" t="n">
        <v>0</v>
      </c>
      <c r="E14" s="3" t="inlineStr">
        <is>
          <t>PerimeterX captcha. 5 listings recovered via AutoTempest</t>
        </is>
      </c>
    </row>
    <row r="15">
      <c r="B15" s="7" t="inlineStr">
        <is>
          <t>CarFax</t>
        </is>
      </c>
      <c r="C15" s="7" t="inlineStr">
        <is>
          <t>blocked</t>
        </is>
      </c>
      <c r="D15" s="30" t="n">
        <v>0</v>
      </c>
      <c r="E15" s="3" t="inlineStr">
        <is>
          <t>DataDome captcha (captcha-delivery.com)</t>
        </is>
      </c>
    </row>
    <row r="16">
      <c r="B16" s="7" t="inlineStr">
        <is>
          <t>FB Marketplace</t>
        </is>
      </c>
      <c r="C16" s="7" t="inlineStr">
        <is>
          <t>blocked</t>
        </is>
      </c>
      <c r="D16" s="30" t="n">
        <v>0</v>
      </c>
      <c r="E16" s="3" t="inlineStr">
        <is>
          <t>Login wall — skipped per read-only rule</t>
        </is>
      </c>
    </row>
    <row r="18">
      <c r="B18" s="4" t="inlineStr">
        <is>
          <t>Re-check sweeps</t>
        </is>
      </c>
    </row>
    <row r="19">
      <c r="B19" s="7" t="inlineStr">
        <is>
          <t>Aug 12, 2026: read-only datacenter sweep. Read-only datacenter sweep: AutoTempest results page, CarGurus VDP JSON for every CG id (board + feed), KBB SRP __NEXT_DATA__ (2 pages) + KBB VDPs for board/Autotrader ids, CarMax /cars/api/search/run, Craigslist SRP, one dealer VDP GET (#4). No forms, no availability clicks. Dealer comms logged in the repo take precedence over listing state.</t>
        </is>
      </c>
    </row>
    <row r="20">
      <c r="B20" s="7" t="inlineStr">
        <is>
          <t>Aug 12, 2026: 2024 model-year sweep (read-only, watchlist only). AutoTempest results page (Cars.com, AutoByTel, CarGurus, TrueCar, CarSoup, Carvana cards), CarGurus VDP JSON for all 112 CG ids, KBB SRP __NEXT_DATA__ + KBB pricing page (8 trims), CarMax /cars/api/search/run (nationwide, shippable to 98101), Craigslist Seattle + Portland, NHTSA recalls/complaints. Page loads and JSON GETs only; no forms, contact clicks or accounts.</t>
        </is>
      </c>
    </row>
    <row r="21">
      <c r="B21" s="7" t="inlineStr">
        <is>
          <t>Aug 11, 2026: live re-check in the buyer’s own browser + WA-first re-scan. Live page loads in Evan's own Chrome (residential IP): CarGurus VDP rendered text, KBB VDP, Cars.com VDP/SRP, CarMax VDP, Autotrader SRP, dealer own-site VDP/inventory search. Read-only; no forms touched, no logins.</t>
        </is>
      </c>
    </row>
    <row r="23">
      <c r="B23" s="3" t="inlineStr">
        <is>
          <t>Honest read: the proxy IP is on Akamai / Cloudflare / DataDome / PerimeterX blocklists, so 6 of 13 direct sources are unreachable. But the blocks cost almost nothing: Autotrader = KBB inventory (got it), TrueCar / Cars.com = AutoTempest feed (got it), CarFax listings = mostly CarGurus overlap. Net-new inventory from round 2 is ~22 cars (KBB-only VINs); everything else was already in round 1 under a different badge.</t>
        </is>
      </c>
    </row>
    <row r="24">
      <c r="B24" s="3" t="inlineStr">
        <is>
          <t>Dedupe: 278 raw → 153 unique VINs (VIN-matched) + 10 no-VIN orphans. 21 no-VIN records soft-matched to existing VINs by (year, ±1k mi, ±$250) and folded in as “also on” tags.</t>
        </is>
      </c>
    </row>
    <row r="25">
      <c r="B25" s="3" t="inlineStr">
        <is>
          <t>Disqualify: any reported accident, fleet / rental prior use, lemon or frame-damage flag, fewer than 6 photos (where photo count is known), missing VIN (unless Craigslist / iSeeCars-flagged), missing price or miles.</t>
        </is>
      </c>
    </row>
    <row r="26">
      <c r="B26" s="3" t="inlineStr">
        <is>
          <t>Trim: unwanted trims (Sport, Select, base 2.5 S) dropped unless priced more than $3k under the year average.</t>
        </is>
      </c>
    </row>
    <row r="27">
      <c r="B27" s="3" t="inlineStr">
        <is>
          <t>Rank: deal rating / KBB FPP delta → $ below market → 1-owner → CPO → miles per dollar; at least 3 non-CarGurus sources and all 3 model years enforced on the shortlist.</t>
        </is>
      </c>
    </row>
    <row r="28">
      <c r="B28" s="3" t="inlineStr">
        <is>
          <t>NHTSA recalls: 0 open campaigns for MY2021–2023 CX-5 (checked 8/7/26). Verify by VIN at nhtsa.gov/recalls before purchase.</t>
        </is>
      </c>
    </row>
    <row r="29">
      <c r="B29" s="3" t="inlineStr">
        <is>
          <t>Merge: 278 raw records (R1 200 + R2 78) → 153 unique VINs by exact VIN match; 21 no-VIN records soft-matched by (year, ±1k mi, ±$250); 10 no-VIN orphans retained (Craigslist / iSeeCars). Per-source primary contribution after dedupe: CarMax 68, CarGurus 41, KBB 22, Carvana 10, Cars.com 7, iSeeCars 5 orphan, Craigslist 5 orphan, TrueCar 2, CarSoup 2, AutoByTel 1.</t>
        </is>
      </c>
    </row>
    <row r="30">
      <c r="B30" s="3" t="inlineStr">
        <is>
          <t>KBB national FPP is default-zip (75201) at “typical” mileage — reads ~$3–5k below Seattle retail across the board. Use the Seattle-derived FPP column for delta math.</t>
        </is>
      </c>
    </row>
    <row r="31">
      <c r="B31" s="3" t="inlineStr">
        <is>
          <t>#6 KBB record has null kbbFpp (delta shows as −$25,198 in raw data — artifact, ignored).</t>
        </is>
      </c>
    </row>
    <row r="32">
      <c r="B32" s="3" t="inlineStr">
        <is>
          <t>CarMax pick #11: priorUse=[] (no fleet flag); CarMax history report available on the vehicle page.</t>
        </is>
      </c>
    </row>
    <row r="33">
      <c r="B33" s="3" t="inlineStr">
        <is>
          <t>iSeeCars adds no VINs and no history data — useful only as a cross-listing signal. Craigslist yielded zero private-party sellers in this range.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2026-08-15T20:42:19Z</dcterms:created>
  <dcterms:modified xmlns:dcterms="http://purl.org/dc/terms/" xmlns:xsi="http://www.w3.org/2001/XMLSchema-instance" xsi:type="dcterms:W3CDTF">2026-08-15T20:42:19Z</dcterms:modified>
</cp:coreProperties>
</file>