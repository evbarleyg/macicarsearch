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8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14, 2026. Generated from data/board.json by tools/build_site.py — same rows as the web page.</t>
        </is>
      </c>
    </row>
    <row r="4">
      <c r="B4" s="3" t="inlineStr">
        <is>
          <t>15 cars in play (14 live + benchmark), 6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14, 2026: Puyallup Mazda: itemized worksheet received for the certified 2023 Carbon (#9); zero add-ons.</t>
        </is>
      </c>
    </row>
    <row r="13">
      <c r="B13" s="3" t="inlineStr">
        <is>
          <t>Aug 14, 2026: Titus-Will: dealer confirmed their best number and stood down; the Olympia car is off the weekend visit list.</t>
        </is>
      </c>
    </row>
    <row r="14">
      <c r="B14" s="3" t="inlineStr">
        <is>
          <t>Aug 13, 2026: Royal Moore: one 2023 Preferred sold per the dealer; the remaining one was requoted with the dealer-added items removed.</t>
        </is>
      </c>
    </row>
    <row r="15">
      <c r="B15" s="3" t="inlineStr">
        <is>
          <t>Aug 13, 2026: Puyallup Mazda: pricing breakdown received for the CPO 2023 Carbon (#9); worksheet attached in email.</t>
        </is>
      </c>
    </row>
    <row r="16">
      <c r="B16" s="3" t="inlineStr">
        <is>
          <t>Aug 13, 2026: Royal Moore: manager follow-up received Thu afternoon; reply prepared.</t>
        </is>
      </c>
    </row>
    <row r="17">
      <c r="B17" s="3" t="inlineStr">
        <is>
          <t>Aug 13, 2026: Hyundai of Kirkland: updated written proposal received midday; license-at-actuals refund and two keys confirmed in writing; window sticker check in progress.</t>
        </is>
      </c>
    </row>
    <row r="18">
      <c r="B18" s="3" t="inlineStr">
        <is>
          <t>Aug 12, 2026: Puyallup Mazda (#1, #6): written itemized quotes surfaced (sheets dated Aug 11 had landed in spam); zero add-ons on both. #9's breakdown requested.</t>
        </is>
      </c>
    </row>
    <row r="19">
      <c r="B19" s="3" t="inlineStr">
        <is>
          <t>Aug 12, 2026: Lee Johnson (#7, #12): both inquiry emails bounced back undelivered (dealer mail server unreachable); a new contact path is being arranged.</t>
        </is>
      </c>
    </row>
    <row r="20">
      <c r="B20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21">
      <c r="B21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22">
      <c r="B22" s="3" t="inlineStr">
        <is>
          <t>Aug 12, 2026: Rodland (#14) pricing sheet transcribed: clean sheet, no add-ons; tax and licence lumped in one line, itemization requested.</t>
        </is>
      </c>
    </row>
    <row r="23">
      <c r="B23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4">
      <c r="B24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5">
      <c r="B25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6">
      <c r="B26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7">
      <c r="B27" s="3" t="inlineStr">
        <is>
          <t>Aug 11, 2026: Comfort-first re-rank and WA-first re-scan added #12–#20; tax model corrected to dealer-city rates (Seattle 11.05%) from the flat 10.35% used on Aug 7.</t>
        </is>
      </c>
    </row>
    <row r="28">
      <c r="B28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14,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1 accident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CARFAX read in full Sat Aug 15: one owner, Washington only, 12 dealer service records and no open recalls, but an accident reported 7/31/2021 with no severity, no impact location and no repair record. Previously carried here as accident-free, which was wrong.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9</v>
      </c>
      <c r="C9" s="7" t="inlineStr">
        <is>
          <t>live</t>
        </is>
      </c>
      <c r="D9" s="8" t="n">
        <v>2023</v>
      </c>
      <c r="E9" s="7" t="inlineStr">
        <is>
          <t>2.5 S Carbon Edition</t>
        </is>
      </c>
      <c r="F9" s="7" t="inlineStr">
        <is>
          <t>2.5</t>
        </is>
      </c>
      <c r="G9" s="6" t="n">
        <v>33006</v>
      </c>
      <c r="H9" s="9" t="n">
        <v>27699</v>
      </c>
      <c r="I9" s="9" t="n">
        <v>27499</v>
      </c>
      <c r="J9" s="9" t="n">
        <v>200</v>
      </c>
      <c r="K9" s="7" t="inlineStr">
        <is>
          <t>Puyallup Mazda</t>
        </is>
      </c>
      <c r="L9" s="7" t="inlineStr">
        <is>
          <t>Puyallup, WA</t>
        </is>
      </c>
      <c r="M9" s="10" t="n">
        <v>0.108</v>
      </c>
      <c r="N9" s="7" t="inlineStr">
        <is>
          <t>Good · $518 below</t>
        </is>
      </c>
      <c r="O9" s="9" t="n">
        <v>28090</v>
      </c>
      <c r="P9" s="7" t="inlineStr">
        <is>
          <t>1 owner · 0 accidents</t>
        </is>
      </c>
      <c r="Q9" s="7" t="inlineStr">
        <is>
          <t>Yes</t>
        </is>
      </c>
      <c r="R9" s="6" t="n">
        <v>58</v>
      </c>
      <c r="S9" s="7" t="inlineStr">
        <is>
          <t>CarGurus</t>
        </is>
      </c>
      <c r="T9" s="7" t="inlineStr">
        <is>
          <t>https://www.cargurus.com/Cars/listing/450917825</t>
        </is>
      </c>
      <c r="U9" s="7" t="inlineStr">
        <is>
          <t>JM3KFBCMXP0288130</t>
        </is>
      </c>
      <c r="V9" s="7" t="inlineStr">
        <is>
          <t>M260362A</t>
        </is>
      </c>
      <c r="W9" s="6" t="n">
        <v>7</v>
      </c>
      <c r="X9" s="3" t="inlineStr">
        <is>
          <t>itemized written worksheet received Fri Aug 14; zero add-ons and the selling price came in under the advertised figure.</t>
        </is>
      </c>
      <c r="Y9" s="3" t="inlineStr">
        <is>
          <t>Red leather, heated fronts, Mazda CPO warranty.</t>
        </is>
      </c>
    </row>
    <row r="10">
      <c r="B10" s="6" t="n">
        <v>10</v>
      </c>
      <c r="C10" s="7" t="inlineStr">
        <is>
          <t>live</t>
        </is>
      </c>
      <c r="D10" s="8" t="n">
        <v>2023</v>
      </c>
      <c r="E10" s="7" t="inlineStr">
        <is>
          <t>2.5 S Preferred</t>
        </is>
      </c>
      <c r="F10" s="7" t="inlineStr">
        <is>
          <t>2.5</t>
        </is>
      </c>
      <c r="G10" s="6" t="n">
        <v>44989</v>
      </c>
      <c r="H10" s="9" t="n">
        <v>24095</v>
      </c>
      <c r="I10" s="9" t="n">
        <v>23995</v>
      </c>
      <c r="J10" s="9" t="n">
        <v>100</v>
      </c>
      <c r="K10" s="7" t="inlineStr">
        <is>
          <t>Columbia Sales &amp; Service</t>
        </is>
      </c>
      <c r="L10" s="7" t="inlineStr">
        <is>
          <t>Portland, OR</t>
        </is>
      </c>
      <c r="M10" s="10" t="n">
        <v>0.1105</v>
      </c>
      <c r="N10" s="7" t="inlineStr">
        <is>
          <t>Great · Cars.com rating</t>
        </is>
      </c>
      <c r="O10" s="9" t="n"/>
      <c r="P10" s="7" t="inlineStr">
        <is>
          <t>2 owners · 0 accidents</t>
        </is>
      </c>
      <c r="Q10" s="7" t="inlineStr">
        <is>
          <t>No</t>
        </is>
      </c>
      <c r="R10" s="6" t="n">
        <v>29</v>
      </c>
      <c r="S10" s="7" t="inlineStr">
        <is>
          <t>Cars.com</t>
        </is>
      </c>
      <c r="T10" s="7" t="inlineStr">
        <is>
          <t>https://www.cars.com/vehicledetail/d4fd9d01-99f9-4673-87c0-1a173ef9551f/</t>
        </is>
      </c>
      <c r="U10" s="7" t="inlineStr">
        <is>
          <t>JM3KFBCM9P0119426</t>
        </is>
      </c>
      <c r="V10" s="7" t="inlineStr">
        <is>
          <t>2468</t>
        </is>
      </c>
      <c r="W10" s="6" t="n">
        <v>12</v>
      </c>
      <c r="X10" s="3" t="inlineStr">
        <is>
          <t>emailed Aug 11, no reply. Oregon: email-only.</t>
        </is>
      </c>
      <c r="Y10" s="3" t="inlineStr">
        <is>
          <t>Leatherette, heated fronts, moonroof.</t>
        </is>
      </c>
    </row>
    <row r="11">
      <c r="B11" s="6" t="n">
        <v>12</v>
      </c>
      <c r="C11" s="7" t="inlineStr">
        <is>
          <t>live</t>
        </is>
      </c>
      <c r="D11" s="8" t="n">
        <v>2023</v>
      </c>
      <c r="E11" s="7" t="inlineStr">
        <is>
          <t>2.5 S Preferred · Mazda CPO</t>
        </is>
      </c>
      <c r="F11" s="7" t="inlineStr">
        <is>
          <t>2.5</t>
        </is>
      </c>
      <c r="G11" s="6" t="n">
        <v>36400</v>
      </c>
      <c r="H11" s="9" t="n">
        <v>26348</v>
      </c>
      <c r="I11" s="9" t="n">
        <v>26348</v>
      </c>
      <c r="J11" s="9" t="n">
        <v>200</v>
      </c>
      <c r="K11" s="7" t="inlineStr">
        <is>
          <t>Lee Johnson Mazda of Seattle</t>
        </is>
      </c>
      <c r="L11" s="7" t="inlineStr">
        <is>
          <t>Seattle, WA</t>
        </is>
      </c>
      <c r="M11" s="10" t="n">
        <v>0.1105</v>
      </c>
      <c r="N11" s="7" t="inlineStr"/>
      <c r="O11" s="9" t="n"/>
      <c r="P11" s="7" t="inlineStr">
        <is>
          <t>0 accidents</t>
        </is>
      </c>
      <c r="Q11" s="7" t="inlineStr">
        <is>
          <t>Yes</t>
        </is>
      </c>
      <c r="R11" s="6" t="n"/>
      <c r="S11" s="7" t="inlineStr">
        <is>
          <t>Cars.com</t>
        </is>
      </c>
      <c r="T11" s="7" t="inlineStr">
        <is>
          <t>https://www.cars.com/vehicledetail/d7b0a899-fdc8-4776-9379-64684c757f41/</t>
        </is>
      </c>
      <c r="U11" s="7" t="inlineStr">
        <is>
          <t>JM3KFBCM7P0256994</t>
        </is>
      </c>
      <c r="V11" s="7" t="n"/>
      <c r="W11" s="6" t="n">
        <v>2</v>
      </c>
      <c r="X11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1" s="3" t="inlineStr">
        <is>
          <t>Leather-trimmed Preferred content (heated fronts, moonroof) with the Mazda CPO warranty.</t>
        </is>
      </c>
    </row>
    <row r="12">
      <c r="B12" s="6" t="n">
        <v>13</v>
      </c>
      <c r="C12" s="7" t="inlineStr">
        <is>
          <t>live</t>
        </is>
      </c>
      <c r="D12" s="8" t="n">
        <v>2022</v>
      </c>
      <c r="E12" s="7" t="inlineStr">
        <is>
          <t>2.5 S Premium Plus</t>
        </is>
      </c>
      <c r="F12" s="7" t="inlineStr">
        <is>
          <t>2.5</t>
        </is>
      </c>
      <c r="G12" s="6" t="n">
        <v>43640</v>
      </c>
      <c r="H12" s="9" t="n">
        <v>27389</v>
      </c>
      <c r="I12" s="9" t="n">
        <v>27389</v>
      </c>
      <c r="J12" s="9" t="n">
        <v>200</v>
      </c>
      <c r="K12" s="7" t="inlineStr">
        <is>
          <t>Titus-Will Chevrolet GMC Cadillac</t>
        </is>
      </c>
      <c r="L12" s="7" t="inlineStr">
        <is>
          <t>Olympia, WA</t>
        </is>
      </c>
      <c r="M12" s="10" t="n">
        <v>0.102</v>
      </c>
      <c r="N12" s="7" t="inlineStr">
        <is>
          <t>Good · $389 over FPP</t>
        </is>
      </c>
      <c r="O12" s="9" t="n">
        <v>27000</v>
      </c>
      <c r="P12" s="7" t="inlineStr">
        <is>
          <t>1 owner · 0 accidents</t>
        </is>
      </c>
      <c r="Q12" s="7" t="inlineStr">
        <is>
          <t>No</t>
        </is>
      </c>
      <c r="R12" s="6" t="n">
        <v>45</v>
      </c>
      <c r="S12" s="7" t="inlineStr">
        <is>
          <t>KBB</t>
        </is>
      </c>
      <c r="T12" s="7" t="inlineStr">
        <is>
          <t>https://www.kbb.com/cars-for-sale/vehicle/784195725</t>
        </is>
      </c>
      <c r="U12" s="7" t="inlineStr">
        <is>
          <t>JM3KFBEM1N0590576</t>
        </is>
      </c>
      <c r="V12" s="7" t="inlineStr">
        <is>
          <t>P11101</t>
        </is>
      </c>
      <c r="W12" s="6" t="n">
        <v>3</v>
      </c>
      <c r="X12" s="3" t="inlineStr">
        <is>
          <t>dealer confirmed their best number Fri Aug 14 and left the door open; not on this weekend's visit list.</t>
        </is>
      </c>
      <c r="Y12" s="3" t="inlineStr">
        <is>
          <t>Ventilated seats, HUD, heated rears; CarBravo (GM) certified, not Mazda CPO.</t>
        </is>
      </c>
    </row>
    <row r="13">
      <c r="B13" s="6" t="n">
        <v>14</v>
      </c>
      <c r="C13" s="7" t="inlineStr">
        <is>
          <t>live</t>
        </is>
      </c>
      <c r="D13" s="8" t="n">
        <v>2023</v>
      </c>
      <c r="E13" s="7" t="inlineStr">
        <is>
          <t>2.5 S Premium</t>
        </is>
      </c>
      <c r="F13" s="7" t="inlineStr">
        <is>
          <t>2.5</t>
        </is>
      </c>
      <c r="G13" s="6" t="n">
        <v>17505</v>
      </c>
      <c r="H13" s="9" t="n">
        <v>28487</v>
      </c>
      <c r="I13" s="9" t="n">
        <v>28287</v>
      </c>
      <c r="J13" s="9" t="n">
        <v>200</v>
      </c>
      <c r="K13" s="7" t="inlineStr">
        <is>
          <t>Rodland Toyota of Everett</t>
        </is>
      </c>
      <c r="L13" s="7" t="inlineStr">
        <is>
          <t>Everett, WA</t>
        </is>
      </c>
      <c r="M13" s="10" t="n">
        <v>0.104</v>
      </c>
      <c r="N13" s="7" t="inlineStr">
        <is>
          <t>Good · $873 below</t>
        </is>
      </c>
      <c r="O13" s="9" t="n">
        <v>27750</v>
      </c>
      <c r="P13" s="7" t="inlineStr">
        <is>
          <t>1 owner · 0 accidents</t>
        </is>
      </c>
      <c r="Q13" s="7" t="inlineStr">
        <is>
          <t>No</t>
        </is>
      </c>
      <c r="R13" s="6" t="n">
        <v>29</v>
      </c>
      <c r="S13" s="7" t="inlineStr">
        <is>
          <t>CarGurus</t>
        </is>
      </c>
      <c r="T13" s="7" t="inlineStr">
        <is>
          <t>https://www.cargurus.com/Cars/listing/453332129</t>
        </is>
      </c>
      <c r="U13" s="7" t="inlineStr">
        <is>
          <t>JM3KFBDM7P0281828</t>
        </is>
      </c>
      <c r="V13" s="7" t="inlineStr">
        <is>
          <t>68987A</t>
        </is>
      </c>
      <c r="W13" s="6" t="n">
        <v>5</v>
      </c>
      <c r="X13" s="3" t="inlineStr">
        <is>
          <t>dealer declined to negotiate by email (Aug 12 evening); no visit planned.</t>
        </is>
      </c>
      <c r="Y13" s="3" t="inlineStr">
        <is>
          <t>Lowest-mile comfort car in the set: Soul Red, leather, Bose, heated wheel (no ventilation).</t>
        </is>
      </c>
    </row>
    <row r="14">
      <c r="B14" s="6" t="n">
        <v>15</v>
      </c>
      <c r="C14" s="7" t="inlineStr">
        <is>
          <t>benchmark</t>
        </is>
      </c>
      <c r="D14" s="8" t="n">
        <v>2023</v>
      </c>
      <c r="E14" s="7" t="inlineStr">
        <is>
          <t>2.5 S Premium · no-haggle</t>
        </is>
      </c>
      <c r="F14" s="7" t="inlineStr">
        <is>
          <t>2.5</t>
        </is>
      </c>
      <c r="G14" s="6" t="n">
        <v>31166</v>
      </c>
      <c r="H14" s="9" t="n">
        <v>27998</v>
      </c>
      <c r="I14" s="9" t="n">
        <v>27998</v>
      </c>
      <c r="J14" s="9" t="n">
        <v>200</v>
      </c>
      <c r="K14" s="7" t="inlineStr">
        <is>
          <t>CarMax Renton</t>
        </is>
      </c>
      <c r="L14" s="7" t="inlineStr">
        <is>
          <t>Renton, WA</t>
        </is>
      </c>
      <c r="M14" s="10" t="n">
        <v>0.11</v>
      </c>
      <c r="N14" s="7" t="inlineStr">
        <is>
          <t>Fair · $222 below</t>
        </is>
      </c>
      <c r="O14" s="9" t="n"/>
      <c r="P14" s="7" t="inlineStr">
        <is>
          <t>1 owner · 0 accidents</t>
        </is>
      </c>
      <c r="Q14" s="7" t="inlineStr">
        <is>
          <t>No</t>
        </is>
      </c>
      <c r="R14" s="6" t="n">
        <v>3</v>
      </c>
      <c r="S14" s="7" t="inlineStr">
        <is>
          <t>CarMax</t>
        </is>
      </c>
      <c r="T14" s="7" t="inlineStr">
        <is>
          <t>https://www.cargurus.com/Cars/listing/455754266</t>
        </is>
      </c>
      <c r="U14" s="7" t="inlineStr">
        <is>
          <t>JM3KFBDM0P0215315</t>
        </is>
      </c>
      <c r="V14" s="7" t="inlineStr">
        <is>
          <t>70134808</t>
        </is>
      </c>
      <c r="W14" s="6" t="n">
        <v>6</v>
      </c>
      <c r="X14" s="3" t="inlineStr">
        <is>
          <t>reference car; nothing to request.</t>
        </is>
      </c>
      <c r="Y14" s="3" t="inlineStr">
        <is>
          <t>In-state no-haggle benchmark, no transfer fee.</t>
        </is>
      </c>
    </row>
    <row r="15">
      <c r="B15" s="6" t="n">
        <v>17</v>
      </c>
      <c r="C15" s="7" t="inlineStr">
        <is>
          <t>live</t>
        </is>
      </c>
      <c r="D15" s="8" t="n">
        <v>2021</v>
      </c>
      <c r="E15" s="7" t="inlineStr">
        <is>
          <t>Grand Touring w/ GT Premium pkg</t>
        </is>
      </c>
      <c r="F15" s="7" t="inlineStr">
        <is>
          <t>2.5</t>
        </is>
      </c>
      <c r="G15" s="6" t="n">
        <v>30066</v>
      </c>
      <c r="H15" s="9" t="n">
        <v>25799</v>
      </c>
      <c r="I15" s="9" t="n">
        <v>25799</v>
      </c>
      <c r="J15" s="9" t="n">
        <v>0</v>
      </c>
      <c r="K15" s="7" t="inlineStr">
        <is>
          <t>Auto 206 (independent)</t>
        </is>
      </c>
      <c r="L15" s="7" t="inlineStr">
        <is>
          <t>Kent, WA</t>
        </is>
      </c>
      <c r="M15" s="10" t="n">
        <v>0.109</v>
      </c>
      <c r="N15" s="7" t="inlineStr">
        <is>
          <t>$3,281 &lt; FPP</t>
        </is>
      </c>
      <c r="O15" s="9" t="n">
        <v>29080</v>
      </c>
      <c r="P15" s="7" t="inlineStr">
        <is>
          <t>1 owner · 1 accident</t>
        </is>
      </c>
      <c r="Q15" s="7" t="inlineStr">
        <is>
          <t>No</t>
        </is>
      </c>
      <c r="R15" s="6" t="n">
        <v>5</v>
      </c>
      <c r="S15" s="7" t="inlineStr">
        <is>
          <t>Autotrader</t>
        </is>
      </c>
      <c r="T15" s="7" t="inlineStr">
        <is>
          <t>https://www.autotrader.com/cars-for-sale/vehicle/787629893</t>
        </is>
      </c>
      <c r="U15" s="7" t="inlineStr">
        <is>
          <t>JM3KFBDM0M0305902</t>
        </is>
      </c>
      <c r="V15" s="7" t="inlineStr">
        <is>
          <t>13014</t>
        </is>
      </c>
      <c r="W15" s="6" t="n"/>
      <c r="X15" s="3" t="inlineStr">
        <is>
          <t>written offer in hand, valid to Aug 12, 7 PM; Carfax shows a 6/2024 accident. Discussion paused.</t>
        </is>
      </c>
      <c r="Y15" s="3" t="inlineStr">
        <is>
          <t>Ventilated seats at GT money (GT Premium package), Deep Crystal Blue.</t>
        </is>
      </c>
    </row>
    <row r="16">
      <c r="B16" s="6" t="n">
        <v>19</v>
      </c>
      <c r="C16" s="7" t="inlineStr">
        <is>
          <t>live</t>
        </is>
      </c>
      <c r="D16" s="8" t="n">
        <v>2021</v>
      </c>
      <c r="E16" s="7" t="inlineStr">
        <is>
          <t>Signature (2.5T, ventilated)</t>
        </is>
      </c>
      <c r="F16" s="7" t="inlineStr">
        <is>
          <t>2.5 Turbo</t>
        </is>
      </c>
      <c r="G16" s="6" t="n">
        <v>40451</v>
      </c>
      <c r="H16" s="9" t="n">
        <v>26712</v>
      </c>
      <c r="I16" s="9" t="n">
        <v>26712</v>
      </c>
      <c r="J16" s="9" t="n">
        <v>250</v>
      </c>
      <c r="K16" s="7" t="inlineStr">
        <is>
          <t>Tonkin Gresham Honda</t>
        </is>
      </c>
      <c r="L16" s="7" t="inlineStr">
        <is>
          <t>Troutdale, OR</t>
        </is>
      </c>
      <c r="M16" s="10" t="n">
        <v>0.1105</v>
      </c>
      <c r="N16" s="7" t="inlineStr">
        <is>
          <t>Good · $700 below</t>
        </is>
      </c>
      <c r="O16" s="9" t="n">
        <v>24480</v>
      </c>
      <c r="P16" s="7" t="inlineStr">
        <is>
          <t>2 owners · 0 accidents</t>
        </is>
      </c>
      <c r="Q16" s="7" t="inlineStr">
        <is>
          <t>No</t>
        </is>
      </c>
      <c r="R16" s="6" t="n">
        <v>18</v>
      </c>
      <c r="S16" s="7" t="inlineStr">
        <is>
          <t>Cars.com</t>
        </is>
      </c>
      <c r="T16" s="7" t="inlineStr">
        <is>
          <t>https://www.cars.com/vehicledetail/671f18d1-7917-4929-b9c7-3f175ba4013f/</t>
        </is>
      </c>
      <c r="U16" s="7" t="inlineStr">
        <is>
          <t>JM3KFBEY2M0349546</t>
        </is>
      </c>
      <c r="V16" s="7" t="inlineStr">
        <is>
          <t>G6186020B</t>
        </is>
      </c>
      <c r="W16" s="6" t="n"/>
      <c r="X16" s="3" t="inlineStr">
        <is>
          <t>not contacted; Oregon fallback, email-only.</t>
        </is>
      </c>
      <c r="Y16" s="3" t="inlineStr">
        <is>
          <t>Top 2021 trim (Nappa, vents, 360 camera).</t>
        </is>
      </c>
    </row>
    <row r="17">
      <c r="B17" s="6" t="n">
        <v>20</v>
      </c>
      <c r="C17" s="7" t="inlineStr">
        <is>
          <t>live</t>
        </is>
      </c>
      <c r="D17" s="8" t="n">
        <v>2023</v>
      </c>
      <c r="E17" s="7" t="inlineStr">
        <is>
          <t>2.5 S Preferred</t>
        </is>
      </c>
      <c r="F17" s="7" t="inlineStr">
        <is>
          <t>2.5</t>
        </is>
      </c>
      <c r="G17" s="6" t="n">
        <v>16969</v>
      </c>
      <c r="H17" s="9" t="n">
        <v>26500</v>
      </c>
      <c r="I17" s="9" t="n">
        <v>26500</v>
      </c>
      <c r="J17" s="9" t="n">
        <v>250</v>
      </c>
      <c r="K17" s="7" t="inlineStr">
        <is>
          <t>Royal Moore Mazda</t>
        </is>
      </c>
      <c r="L17" s="7" t="inlineStr">
        <is>
          <t>Hillsboro, OR</t>
        </is>
      </c>
      <c r="M17" s="10" t="n">
        <v>0.1105</v>
      </c>
      <c r="N17" s="7" t="inlineStr"/>
      <c r="O17" s="9" t="n"/>
      <c r="P17" s="7" t="inlineStr">
        <is>
          <t>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https://www.cars.com/vehicledetail/84b6552a-4a94-4c5b-96bf-0b3b37cc55a9/</t>
        </is>
      </c>
      <c r="U17" s="7" t="n"/>
      <c r="V17" s="7" t="n"/>
      <c r="W17" s="6" t="n"/>
      <c r="X17" s="3" t="inlineStr">
        <is>
          <t>dealer requoted their remaining 2023 Preferred (stock p12315) Thu Aug 13 with the dealer-added items removed.</t>
        </is>
      </c>
      <c r="Y17" s="3" t="inlineStr">
        <is>
          <t>The Royal Moore group's second low-mile Preferred (Toyota store, same auto center as #8).</t>
        </is>
      </c>
    </row>
    <row r="18">
      <c r="B18" s="6" t="n">
        <v>21</v>
      </c>
      <c r="C18" s="7" t="inlineStr">
        <is>
          <t>live</t>
        </is>
      </c>
      <c r="D18" s="8" t="n">
        <v>2021</v>
      </c>
      <c r="E18" s="7" t="inlineStr">
        <is>
          <t>Signature (2.5T)</t>
        </is>
      </c>
      <c r="F18" s="7" t="inlineStr">
        <is>
          <t>2.5 Turbo</t>
        </is>
      </c>
      <c r="G18" s="6" t="n">
        <v>35589</v>
      </c>
      <c r="H18" s="9" t="n">
        <v>25999</v>
      </c>
      <c r="I18" s="9" t="n">
        <v>25999</v>
      </c>
      <c r="J18" s="9" t="n">
        <v>200</v>
      </c>
      <c r="K18" s="7" t="inlineStr">
        <is>
          <t>Cortes Auto Center (independent)</t>
        </is>
      </c>
      <c r="L18" s="7" t="inlineStr">
        <is>
          <t>Burlington, WA</t>
        </is>
      </c>
      <c r="M18" s="10" t="n">
        <v>0.091</v>
      </c>
      <c r="N18" s="7" t="inlineStr">
        <is>
          <t>Good · $789 over FPP</t>
        </is>
      </c>
      <c r="O18" s="9" t="n">
        <v>25410</v>
      </c>
      <c r="P18" s="7" t="inlineStr">
        <is>
          <t>1 owner · 0 accidents</t>
        </is>
      </c>
      <c r="Q18" s="7" t="inlineStr">
        <is>
          <t>No</t>
        </is>
      </c>
      <c r="R18" s="6" t="n">
        <v>0</v>
      </c>
      <c r="S18" s="7" t="inlineStr">
        <is>
          <t>KBB</t>
        </is>
      </c>
      <c r="T18" s="7" t="inlineStr">
        <is>
          <t>https://www.kbb.com/cars-for-sale/vehicle/787933636</t>
        </is>
      </c>
      <c r="U18" s="7" t="inlineStr">
        <is>
          <t>JM3KFBEY0M0417715</t>
        </is>
      </c>
      <c r="V18" s="7" t="inlineStr">
        <is>
          <t>B1851</t>
        </is>
      </c>
      <c r="W18" s="6" t="n"/>
      <c r="X18" s="3" t="inlineStr">
        <is>
          <t>not contacted (found Aug 12).</t>
        </is>
      </c>
      <c r="Y18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0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19</v>
      </c>
      <c r="C17" s="7" t="inlineStr">
        <is>
          <t>2021 Signature (2.5T, ventilated)</t>
        </is>
      </c>
      <c r="D17" s="7" t="inlineStr">
        <is>
          <t>Tonkin Gresham Honda</t>
        </is>
      </c>
      <c r="E17" s="7" t="inlineStr">
        <is>
          <t>est</t>
        </is>
      </c>
      <c r="F17" s="9" t="n">
        <v>26712</v>
      </c>
      <c r="G17" s="10" t="n">
        <v>0.1105</v>
      </c>
      <c r="H17" s="9" t="n">
        <v>250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Troutdale, OR rate</t>
        </is>
      </c>
    </row>
    <row r="18">
      <c r="B18" s="6" t="n">
        <v>13</v>
      </c>
      <c r="C18" s="7" t="inlineStr">
        <is>
          <t>2022 2.5 S Premium Plus</t>
        </is>
      </c>
      <c r="D18" s="7" t="inlineStr">
        <is>
          <t>Titus-Will Chevrolet GMC Cadillac</t>
        </is>
      </c>
      <c r="E18" s="7" t="inlineStr">
        <is>
          <t>est</t>
        </is>
      </c>
      <c r="F18" s="9" t="n">
        <v>27389</v>
      </c>
      <c r="G18" s="10" t="n">
        <v>0.102</v>
      </c>
      <c r="H18" s="9" t="n">
        <v>200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Olympia, WA rate</t>
        </is>
      </c>
    </row>
    <row r="19">
      <c r="B19" s="6" t="n">
        <v>9</v>
      </c>
      <c r="C19" s="7" t="inlineStr">
        <is>
          <t>2023 2.5 S Carbon Edition</t>
        </is>
      </c>
      <c r="D19" s="7" t="inlineStr">
        <is>
          <t>Puyallup Mazda</t>
        </is>
      </c>
      <c r="E19" s="7" t="inlineStr">
        <is>
          <t>est</t>
        </is>
      </c>
      <c r="F19" s="9" t="n">
        <v>27499</v>
      </c>
      <c r="G19" s="10" t="n">
        <v>0.108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Puyallup, WA rate</t>
        </is>
      </c>
    </row>
    <row r="20">
      <c r="B20" s="6" t="n">
        <v>7</v>
      </c>
      <c r="C20" s="7" t="inlineStr">
        <is>
          <t>2022 2.5 S Carbon Edition</t>
        </is>
      </c>
      <c r="D20" s="7" t="inlineStr">
        <is>
          <t>Lee Johnson Mazda of Seattle</t>
        </is>
      </c>
      <c r="E20" s="7" t="inlineStr">
        <is>
          <t>est</t>
        </is>
      </c>
      <c r="F20" s="9" t="n">
        <v>27512</v>
      </c>
      <c r="G20" s="10" t="n">
        <v>0.1105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Seattle, WA rate</t>
        </is>
      </c>
    </row>
    <row r="21">
      <c r="B21" s="6" t="n">
        <v>1</v>
      </c>
      <c r="C21" s="7" t="inlineStr">
        <is>
          <t>2023 2.5 Turbo AWD</t>
        </is>
      </c>
      <c r="D21" s="7" t="inlineStr">
        <is>
          <t>Puyallup Mazda</t>
        </is>
      </c>
      <c r="E21" s="7" t="inlineStr">
        <is>
          <t>est</t>
        </is>
      </c>
      <c r="F21" s="9" t="n">
        <v>27999</v>
      </c>
      <c r="G21" s="10" t="n">
        <v>0.108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Puyallup, WA rate</t>
        </is>
      </c>
    </row>
    <row r="22">
      <c r="B22" s="18" t="n">
        <v>15</v>
      </c>
      <c r="C22" s="19" t="inlineStr">
        <is>
          <t>2023 2.5 S Premium · no-haggle (benchmark)</t>
        </is>
      </c>
      <c r="D22" s="19" t="inlineStr">
        <is>
          <t>CarMax Renton</t>
        </is>
      </c>
      <c r="E22" s="19" t="inlineStr">
        <is>
          <t>est</t>
        </is>
      </c>
      <c r="F22" s="20" t="n">
        <v>27998</v>
      </c>
      <c r="G22" s="21" t="n">
        <v>0.11</v>
      </c>
      <c r="H22" s="20" t="n">
        <v>200</v>
      </c>
      <c r="I22" s="22">
        <f>F22*(1+G22)+H22+$C$6</f>
        <v/>
      </c>
      <c r="J22" s="23" t="n"/>
      <c r="K22" s="24">
        <f>IF(J22&gt;0,J22,I22)</f>
        <v/>
      </c>
      <c r="L22" s="22">
        <f>-PMT($C$3/12,$C$4,K22)</f>
        <v/>
      </c>
      <c r="M22" s="22">
        <f>-PMT($C$3/12,$C$4,MAX(0,K22-$C$5))</f>
        <v/>
      </c>
      <c r="N22" s="22">
        <f>L22*$C$4-K22</f>
        <v/>
      </c>
      <c r="O22" s="19" t="inlineStr">
        <is>
          <t>est. at Renton, WA rate</t>
        </is>
      </c>
    </row>
    <row r="23">
      <c r="B23" s="6" t="n">
        <v>14</v>
      </c>
      <c r="C23" s="7" t="inlineStr">
        <is>
          <t>2023 2.5 S Premium</t>
        </is>
      </c>
      <c r="D23" s="7" t="inlineStr">
        <is>
          <t>Rodland Toyota of Everett</t>
        </is>
      </c>
      <c r="E23" s="7" t="inlineStr">
        <is>
          <t>est</t>
        </is>
      </c>
      <c r="F23" s="9" t="n">
        <v>28287</v>
      </c>
      <c r="G23" s="10" t="n">
        <v>0.104</v>
      </c>
      <c r="H23" s="9" t="n">
        <v>200</v>
      </c>
      <c r="I23" s="16">
        <f>F23*(1+G23)+H23+$C$6</f>
        <v/>
      </c>
      <c r="J23" s="17" t="n"/>
      <c r="K23" s="12">
        <f>IF(J23&gt;0,J23,I23)</f>
        <v/>
      </c>
      <c r="L23" s="16">
        <f>-PMT($C$3/12,$C$4,K23)</f>
        <v/>
      </c>
      <c r="M23" s="16">
        <f>-PMT($C$3/12,$C$4,MAX(0,K23-$C$5))</f>
        <v/>
      </c>
      <c r="N23" s="16">
        <f>L23*$C$4-K23</f>
        <v/>
      </c>
      <c r="O23" s="7" t="inlineStr">
        <is>
          <t>est. at Everett, WA rate</t>
        </is>
      </c>
    </row>
    <row r="25">
      <c r="B25" s="4" t="inlineStr">
        <is>
          <t>Cheapest solid vs. stretch</t>
        </is>
      </c>
    </row>
    <row r="26">
      <c r="B26" s="7" t="n"/>
      <c r="C26" s="4" t="inlineStr">
        <is>
          <t>Cheapest solid</t>
        </is>
      </c>
      <c r="D26" s="7" t="inlineStr">
        <is>
          <t>#4 2021 Carbon Edition Turbo · Ron Tonkin Honda</t>
        </is>
      </c>
      <c r="E26" s="7" t="inlineStr">
        <is>
          <t>est</t>
        </is>
      </c>
      <c r="F26" s="16" t="n">
        <v>25852</v>
      </c>
      <c r="G26" s="7" t="n"/>
      <c r="H26" s="7" t="n"/>
      <c r="I26" s="7" t="n"/>
      <c r="J26" s="7" t="n"/>
      <c r="K26" s="16" t="n">
        <v>29558.646</v>
      </c>
      <c r="L26" s="16" t="n">
        <v>575.5838348034372</v>
      </c>
      <c r="M26" s="16" t="n">
        <v>478.2208103260242</v>
      </c>
      <c r="N26" s="16" t="n">
        <v>4976.384088206229</v>
      </c>
    </row>
    <row r="27">
      <c r="B27" s="7" t="n"/>
      <c r="C27" s="4" t="inlineStr">
        <is>
          <t>Stretch</t>
        </is>
      </c>
      <c r="D27" s="7" t="inlineStr">
        <is>
          <t>#1 2023 2.5 Turbo AWD · Puyallup Mazda</t>
        </is>
      </c>
      <c r="E27" s="7" t="inlineStr">
        <is>
          <t>est</t>
        </is>
      </c>
      <c r="F27" s="16" t="n">
        <v>27999</v>
      </c>
      <c r="G27" s="7" t="n"/>
      <c r="H27" s="7" t="n"/>
      <c r="I27" s="7" t="n"/>
      <c r="J27" s="7" t="n"/>
      <c r="K27" s="16" t="n">
        <v>31822.892</v>
      </c>
      <c r="L27" s="16" t="n">
        <v>619.6746025476141</v>
      </c>
      <c r="M27" s="16" t="n">
        <v>522.3115780702011</v>
      </c>
      <c r="N27" s="16" t="n">
        <v>5357.584152856845</v>
      </c>
    </row>
    <row r="28">
      <c r="B28" s="25" t="n"/>
      <c r="C28" s="25" t="inlineStr">
        <is>
          <t>Δ</t>
        </is>
      </c>
      <c r="D28" s="25" t="n"/>
      <c r="E28" s="25" t="n"/>
      <c r="F28" s="26" t="n">
        <v>2147</v>
      </c>
      <c r="G28" s="25" t="n"/>
      <c r="H28" s="25" t="n"/>
      <c r="I28" s="25" t="n"/>
      <c r="J28" s="25" t="n"/>
      <c r="K28" s="26" t="n">
        <v>2264.246000000003</v>
      </c>
      <c r="L28" s="26" t="n">
        <v>44.0907677441769</v>
      </c>
      <c r="M28" s="26" t="n">
        <v>44.09076774417696</v>
      </c>
      <c r="N28" s="26" t="n">
        <v>381.2000646506167</v>
      </c>
    </row>
    <row r="30">
      <c r="B30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8</v>
      </c>
      <c r="C6" s="8" t="n">
        <v>2023</v>
      </c>
      <c r="D6" s="7" t="inlineStr">
        <is>
          <t>2.5 S Preferred AWD</t>
        </is>
      </c>
      <c r="E6" s="7" t="inlineStr">
        <is>
          <t>Royal Moore Mazda</t>
        </is>
      </c>
      <c r="F6" s="7" t="inlineStr">
        <is>
          <t>Hillsboro, OR</t>
        </is>
      </c>
      <c r="G6" s="9" t="n">
        <v>26900</v>
      </c>
      <c r="H6" s="6" t="n">
        <v>16615</v>
      </c>
      <c r="I6" s="7" t="inlineStr">
        <is>
          <t>Aug 13</t>
        </is>
      </c>
      <c r="J6" s="7" t="inlineStr">
        <is>
          <t>dealer email Aug 13</t>
        </is>
      </c>
      <c r="K6" s="7" t="inlineStr">
        <is>
          <t>https://www.cargurus.com/Cars/listing/454567468</t>
        </is>
      </c>
    </row>
    <row r="7">
      <c r="B7" s="6" t="n">
        <v>11</v>
      </c>
      <c r="C7" s="8" t="n">
        <v>2022</v>
      </c>
      <c r="D7" s="7" t="inlineStr">
        <is>
          <t>Carbon Edition</t>
        </is>
      </c>
      <c r="E7" s="7" t="inlineStr">
        <is>
          <t>CarMax Sacramento South</t>
        </is>
      </c>
      <c r="F7" s="7" t="inlineStr">
        <is>
          <t>Sacramento, CA</t>
        </is>
      </c>
      <c r="G7" s="9" t="n">
        <v>24998</v>
      </c>
      <c r="H7" s="6" t="n">
        <v>48337</v>
      </c>
      <c r="I7" s="7" t="inlineStr">
        <is>
          <t>Aug 11</t>
        </is>
      </c>
      <c r="J7" s="7" t="inlineStr">
        <is>
          <t>Aug 11 PM</t>
        </is>
      </c>
      <c r="K7" s="7" t="inlineStr">
        <is>
          <t>https://www.carmax.com/car/70056694</t>
        </is>
      </c>
    </row>
    <row r="8">
      <c r="B8" s="6" t="n">
        <v>16</v>
      </c>
      <c r="C8" s="8" t="n">
        <v>2021</v>
      </c>
      <c r="D8" s="7" t="inlineStr">
        <is>
          <t>Grand Touring AWD</t>
        </is>
      </c>
      <c r="E8" s="7" t="inlineStr">
        <is>
          <t>Doug's Lynnwood Mazda</t>
        </is>
      </c>
      <c r="F8" s="7" t="inlineStr">
        <is>
          <t>Edmonds, WA</t>
        </is>
      </c>
      <c r="G8" s="9" t="n">
        <v>28700</v>
      </c>
      <c r="H8" s="6" t="n">
        <v>27089</v>
      </c>
      <c r="I8" s="7" t="inlineStr">
        <is>
          <t>Aug 11</t>
        </is>
      </c>
      <c r="J8" s="7" t="inlineStr">
        <is>
          <t>dealer email Aug 11 (sold Aug 10)</t>
        </is>
      </c>
      <c r="K8" s="7" t="inlineStr">
        <is>
          <t>https://www.cars.com/vehicledetail/495a1e58-37a7-480b-9f80-8bb411d8fa8f/</t>
        </is>
      </c>
    </row>
    <row r="9">
      <c r="B9" s="6" t="n">
        <v>18</v>
      </c>
      <c r="C9" s="8" t="n">
        <v>2023</v>
      </c>
      <c r="D9" s="7" t="inlineStr">
        <is>
          <t>2.5 S Preferred AWD</t>
        </is>
      </c>
      <c r="E9" s="7" t="inlineStr">
        <is>
          <t>Auto Connections of Bellevue (independent)</t>
        </is>
      </c>
      <c r="F9" s="7" t="inlineStr">
        <is>
          <t>Bellevue, WA</t>
        </is>
      </c>
      <c r="G9" s="9" t="n">
        <v>26495</v>
      </c>
      <c r="H9" s="6" t="n">
        <v>20533</v>
      </c>
      <c r="I9" s="7" t="inlineStr">
        <is>
          <t>Aug 11</t>
        </is>
      </c>
      <c r="J9" s="7" t="inlineStr">
        <is>
          <t>Aug 11, 11:51 AM</t>
        </is>
      </c>
      <c r="K9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8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10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2026-08-15T16:43:05Z</dcterms:created>
  <dcterms:modified xmlns:dcterms="http://purl.org/dc/terms/" xmlns:xsi="http://www.w3.org/2001/XMLSchema-instance" xsi:type="dcterms:W3CDTF">2026-08-15T16:43:05Z</dcterms:modified>
</cp:coreProperties>
</file>