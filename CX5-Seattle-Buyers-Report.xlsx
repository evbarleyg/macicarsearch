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19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12, 2026. Generated from data/board.json by tools/build_site.py — same rows as the web page.</t>
        </is>
      </c>
    </row>
    <row r="4">
      <c r="B4" s="3" t="inlineStr">
        <is>
          <t>16 cars in play (15 live + benchmark), 5 sold since publication, 5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13">
      <c r="B13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14">
      <c r="B14" s="3" t="inlineStr">
        <is>
          <t>Aug 12, 2026: Rodland (#14) pricing sheet transcribed: clean sheet, no add-ons; tax and licence lumped in one line, itemization requested.</t>
        </is>
      </c>
    </row>
    <row r="15">
      <c r="B15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16">
      <c r="B16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17">
      <c r="B17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18">
      <c r="B18" s="3" t="inlineStr">
        <is>
          <t>Aug 11, 2026: Comfort-first re-rank and WA-first re-scan added #12–#20; tax model corrected to dealer-city rates (Seattle 11.05%) from the flat 10.35% used on Aug 7.</t>
        </is>
      </c>
    </row>
    <row r="19">
      <c r="B19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12,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awaiting written OTD; form lead Aug 11 plus a phone promise, nothing received.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written itemized quote received Aug 11, 4:21 PM (zero add-ons, doc fee at the state cap); reply prepared. KBB lists the dealer as “Ford of Kirkland”; same lot.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awaiting written OTD; same Puyallup lead as #1 (Aug 11), phone promise only.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(#7 + #12) emailed Aug 11, 3:50 PM; no reply yet.</t>
        </is>
      </c>
      <c r="Y8" s="3" t="inlineStr">
        <is>
          <t>Red leather, heated fronts, moonroof, Mazda CPO warranty.</t>
        </is>
      </c>
    </row>
    <row r="9">
      <c r="B9" s="6" t="n">
        <v>8</v>
      </c>
      <c r="C9" s="7" t="inlineStr">
        <is>
          <t>live</t>
        </is>
      </c>
      <c r="D9" s="8" t="n">
        <v>2023</v>
      </c>
      <c r="E9" s="7" t="inlineStr">
        <is>
          <t>2.5 S Preferred</t>
        </is>
      </c>
      <c r="F9" s="7" t="inlineStr">
        <is>
          <t>2.5</t>
        </is>
      </c>
      <c r="G9" s="6" t="n">
        <v>16615</v>
      </c>
      <c r="H9" s="9" t="n">
        <v>26900</v>
      </c>
      <c r="I9" s="9" t="n">
        <v>26900</v>
      </c>
      <c r="J9" s="9" t="n">
        <v>0</v>
      </c>
      <c r="K9" s="7" t="inlineStr">
        <is>
          <t>Royal Moore Mazda</t>
        </is>
      </c>
      <c r="L9" s="7" t="inlineStr">
        <is>
          <t>Hillsboro, OR</t>
        </is>
      </c>
      <c r="M9" s="10" t="n">
        <v>0.1105</v>
      </c>
      <c r="N9" s="7" t="inlineStr">
        <is>
          <t>Good · $469 below</t>
        </is>
      </c>
      <c r="O9" s="9" t="n">
        <v>27590</v>
      </c>
      <c r="P9" s="7" t="inlineStr">
        <is>
          <t>1 owner · 0 accidents</t>
        </is>
      </c>
      <c r="Q9" s="7" t="inlineStr">
        <is>
          <t>No</t>
        </is>
      </c>
      <c r="R9" s="6" t="n">
        <v>15</v>
      </c>
      <c r="S9" s="7" t="inlineStr">
        <is>
          <t>CarGurus</t>
        </is>
      </c>
      <c r="T9" s="7" t="inlineStr">
        <is>
          <t>https://www.cargurus.com/Cars/listing/454567468</t>
        </is>
      </c>
      <c r="U9" s="7" t="inlineStr">
        <is>
          <t>JM3KFBCM6P0274841</t>
        </is>
      </c>
      <c r="V9" s="7" t="inlineStr">
        <is>
          <t>661788A</t>
        </is>
      </c>
      <c r="W9" s="6" t="n">
        <v>10</v>
      </c>
      <c r="X9" s="3" t="inlineStr">
        <is>
          <t>written quote received Aug 11 as a PDF; it lists Courtesy Guard + Forever Start add-ons and their removal has been requested. Oregon: email-only.</t>
        </is>
      </c>
      <c r="Y9" s="3" t="inlineStr">
        <is>
          <t>Leatherette, heated fronts, power driver seat, moonroof.</t>
        </is>
      </c>
    </row>
    <row r="10">
      <c r="B10" s="6" t="n">
        <v>9</v>
      </c>
      <c r="C10" s="7" t="inlineStr">
        <is>
          <t>live</t>
        </is>
      </c>
      <c r="D10" s="8" t="n">
        <v>2023</v>
      </c>
      <c r="E10" s="7" t="inlineStr">
        <is>
          <t>2.5 S Carbon Edition</t>
        </is>
      </c>
      <c r="F10" s="7" t="inlineStr">
        <is>
          <t>2.5</t>
        </is>
      </c>
      <c r="G10" s="6" t="n">
        <v>33006</v>
      </c>
      <c r="H10" s="9" t="n">
        <v>27699</v>
      </c>
      <c r="I10" s="9" t="n">
        <v>27499</v>
      </c>
      <c r="J10" s="9" t="n">
        <v>200</v>
      </c>
      <c r="K10" s="7" t="inlineStr">
        <is>
          <t>Puyallup Mazda</t>
        </is>
      </c>
      <c r="L10" s="7" t="inlineStr">
        <is>
          <t>Puyallup, WA</t>
        </is>
      </c>
      <c r="M10" s="10" t="n">
        <v>0.108</v>
      </c>
      <c r="N10" s="7" t="inlineStr">
        <is>
          <t>Good · $518 below</t>
        </is>
      </c>
      <c r="O10" s="9" t="n">
        <v>28090</v>
      </c>
      <c r="P10" s="7" t="inlineStr">
        <is>
          <t>1 owner · 0 accidents</t>
        </is>
      </c>
      <c r="Q10" s="7" t="inlineStr">
        <is>
          <t>Yes</t>
        </is>
      </c>
      <c r="R10" s="6" t="n">
        <v>58</v>
      </c>
      <c r="S10" s="7" t="inlineStr">
        <is>
          <t>CarGurus</t>
        </is>
      </c>
      <c r="T10" s="7" t="inlineStr">
        <is>
          <t>https://www.cargurus.com/Cars/listing/450917825</t>
        </is>
      </c>
      <c r="U10" s="7" t="inlineStr">
        <is>
          <t>JM3KFBCMXP0288130</t>
        </is>
      </c>
      <c r="V10" s="7" t="inlineStr">
        <is>
          <t>M260362A</t>
        </is>
      </c>
      <c r="W10" s="6" t="n">
        <v>7</v>
      </c>
      <c r="X10" s="3" t="inlineStr">
        <is>
          <t>folded into the Puyallup #1/#6 inquiry; no written numbers yet.</t>
        </is>
      </c>
      <c r="Y10" s="3" t="inlineStr">
        <is>
          <t>Red leather, heated fronts, Mazda CPO warranty.</t>
        </is>
      </c>
    </row>
    <row r="11">
      <c r="B11" s="6" t="n">
        <v>10</v>
      </c>
      <c r="C11" s="7" t="inlineStr">
        <is>
          <t>live</t>
        </is>
      </c>
      <c r="D11" s="8" t="n">
        <v>2023</v>
      </c>
      <c r="E11" s="7" t="inlineStr">
        <is>
          <t>2.5 S Preferred</t>
        </is>
      </c>
      <c r="F11" s="7" t="inlineStr">
        <is>
          <t>2.5</t>
        </is>
      </c>
      <c r="G11" s="6" t="n">
        <v>44989</v>
      </c>
      <c r="H11" s="9" t="n">
        <v>24095</v>
      </c>
      <c r="I11" s="9" t="n">
        <v>23995</v>
      </c>
      <c r="J11" s="9" t="n">
        <v>100</v>
      </c>
      <c r="K11" s="7" t="inlineStr">
        <is>
          <t>Columbia Sales &amp; Service</t>
        </is>
      </c>
      <c r="L11" s="7" t="inlineStr">
        <is>
          <t>Portland, OR</t>
        </is>
      </c>
      <c r="M11" s="10" t="n">
        <v>0.1105</v>
      </c>
      <c r="N11" s="7" t="inlineStr">
        <is>
          <t>Great · Cars.com rating</t>
        </is>
      </c>
      <c r="O11" s="9" t="n"/>
      <c r="P11" s="7" t="inlineStr">
        <is>
          <t>2 owners · 0 accidents</t>
        </is>
      </c>
      <c r="Q11" s="7" t="inlineStr">
        <is>
          <t>No</t>
        </is>
      </c>
      <c r="R11" s="6" t="n">
        <v>29</v>
      </c>
      <c r="S11" s="7" t="inlineStr">
        <is>
          <t>Cars.com</t>
        </is>
      </c>
      <c r="T11" s="7" t="inlineStr">
        <is>
          <t>https://www.cars.com/vehicledetail/d4fd9d01-99f9-4673-87c0-1a173ef9551f/</t>
        </is>
      </c>
      <c r="U11" s="7" t="inlineStr">
        <is>
          <t>JM3KFBCM9P0119426</t>
        </is>
      </c>
      <c r="V11" s="7" t="inlineStr">
        <is>
          <t>2468</t>
        </is>
      </c>
      <c r="W11" s="6" t="n">
        <v>12</v>
      </c>
      <c r="X11" s="3" t="inlineStr">
        <is>
          <t>emailed Aug 11, no reply. Oregon: email-only.</t>
        </is>
      </c>
      <c r="Y11" s="3" t="inlineStr">
        <is>
          <t>Leatherette, heated fronts, moonroof.</t>
        </is>
      </c>
    </row>
    <row r="12">
      <c r="B12" s="6" t="n">
        <v>12</v>
      </c>
      <c r="C12" s="7" t="inlineStr">
        <is>
          <t>live</t>
        </is>
      </c>
      <c r="D12" s="8" t="n">
        <v>2023</v>
      </c>
      <c r="E12" s="7" t="inlineStr">
        <is>
          <t>2.5 S Preferred · Mazda CPO</t>
        </is>
      </c>
      <c r="F12" s="7" t="inlineStr">
        <is>
          <t>2.5</t>
        </is>
      </c>
      <c r="G12" s="6" t="n">
        <v>36400</v>
      </c>
      <c r="H12" s="9" t="n">
        <v>26348</v>
      </c>
      <c r="I12" s="9" t="n">
        <v>26348</v>
      </c>
      <c r="J12" s="9" t="n">
        <v>200</v>
      </c>
      <c r="K12" s="7" t="inlineStr">
        <is>
          <t>Lee Johnson Mazda of Seattle</t>
        </is>
      </c>
      <c r="L12" s="7" t="inlineStr">
        <is>
          <t>Seattle, WA</t>
        </is>
      </c>
      <c r="M12" s="10" t="n">
        <v>0.1105</v>
      </c>
      <c r="N12" s="7" t="inlineStr"/>
      <c r="O12" s="9" t="n"/>
      <c r="P12" s="7" t="inlineStr">
        <is>
          <t>0 accidents</t>
        </is>
      </c>
      <c r="Q12" s="7" t="inlineStr">
        <is>
          <t>Yes</t>
        </is>
      </c>
      <c r="R12" s="6" t="n"/>
      <c r="S12" s="7" t="inlineStr">
        <is>
          <t>Cars.com</t>
        </is>
      </c>
      <c r="T12" s="7" t="inlineStr">
        <is>
          <t>https://www.cars.com/vehicledetail/d7b0a899-fdc8-4776-9379-64684c757f41/</t>
        </is>
      </c>
      <c r="U12" s="7" t="inlineStr">
        <is>
          <t>JM3KFBCM7P0256994</t>
        </is>
      </c>
      <c r="V12" s="7" t="n"/>
      <c r="W12" s="6" t="n">
        <v>2</v>
      </c>
      <c r="X12" s="3" t="inlineStr">
        <is>
          <t>in the Lee Johnson two-car OTD request emailed Aug 11, 3:50 PM; no reply yet.</t>
        </is>
      </c>
      <c r="Y12" s="3" t="inlineStr">
        <is>
          <t>Leather-trimmed Preferred content (heated fronts, moonroof) with the Mazda CPO warranty.</t>
        </is>
      </c>
    </row>
    <row r="13">
      <c r="B13" s="6" t="n">
        <v>13</v>
      </c>
      <c r="C13" s="7" t="inlineStr">
        <is>
          <t>live</t>
        </is>
      </c>
      <c r="D13" s="8" t="n">
        <v>2022</v>
      </c>
      <c r="E13" s="7" t="inlineStr">
        <is>
          <t>2.5 S Premium Plus</t>
        </is>
      </c>
      <c r="F13" s="7" t="inlineStr">
        <is>
          <t>2.5</t>
        </is>
      </c>
      <c r="G13" s="6" t="n">
        <v>43640</v>
      </c>
      <c r="H13" s="9" t="n">
        <v>27389</v>
      </c>
      <c r="I13" s="9" t="n">
        <v>27389</v>
      </c>
      <c r="J13" s="9" t="n">
        <v>200</v>
      </c>
      <c r="K13" s="7" t="inlineStr">
        <is>
          <t>Titus-Will Chevrolet GMC Cadillac</t>
        </is>
      </c>
      <c r="L13" s="7" t="inlineStr">
        <is>
          <t>Olympia, WA</t>
        </is>
      </c>
      <c r="M13" s="10" t="n">
        <v>0.102</v>
      </c>
      <c r="N13" s="7" t="inlineStr">
        <is>
          <t>Good · $389 over FPP</t>
        </is>
      </c>
      <c r="O13" s="9" t="n">
        <v>27000</v>
      </c>
      <c r="P13" s="7" t="inlineStr">
        <is>
          <t>1 owner · 0 accidents</t>
        </is>
      </c>
      <c r="Q13" s="7" t="inlineStr">
        <is>
          <t>No</t>
        </is>
      </c>
      <c r="R13" s="6" t="n">
        <v>45</v>
      </c>
      <c r="S13" s="7" t="inlineStr">
        <is>
          <t>KBB</t>
        </is>
      </c>
      <c r="T13" s="7" t="inlineStr">
        <is>
          <t>https://www.kbb.com/cars-for-sale/vehicle/784195725</t>
        </is>
      </c>
      <c r="U13" s="7" t="inlineStr">
        <is>
          <t>JM3KFBEM1N0590576</t>
        </is>
      </c>
      <c r="V13" s="7" t="inlineStr">
        <is>
          <t>P11101</t>
        </is>
      </c>
      <c r="W13" s="6" t="n">
        <v>3</v>
      </c>
      <c r="X13" s="3" t="inlineStr">
        <is>
          <t>revised written quote received Aug 11, 4:43 PM with the KARR add-on struck; discussion ongoing.</t>
        </is>
      </c>
      <c r="Y13" s="3" t="inlineStr">
        <is>
          <t>Ventilated seats, HUD, heated rears; CarBravo (GM) certified, not Mazda CPO.</t>
        </is>
      </c>
    </row>
    <row r="14">
      <c r="B14" s="6" t="n">
        <v>14</v>
      </c>
      <c r="C14" s="7" t="inlineStr">
        <is>
          <t>live</t>
        </is>
      </c>
      <c r="D14" s="8" t="n">
        <v>2023</v>
      </c>
      <c r="E14" s="7" t="inlineStr">
        <is>
          <t>2.5 S Premium</t>
        </is>
      </c>
      <c r="F14" s="7" t="inlineStr">
        <is>
          <t>2.5</t>
        </is>
      </c>
      <c r="G14" s="6" t="n">
        <v>17505</v>
      </c>
      <c r="H14" s="9" t="n">
        <v>28487</v>
      </c>
      <c r="I14" s="9" t="n">
        <v>28287</v>
      </c>
      <c r="J14" s="9" t="n">
        <v>200</v>
      </c>
      <c r="K14" s="7" t="inlineStr">
        <is>
          <t>Rodland Toyota of Everett</t>
        </is>
      </c>
      <c r="L14" s="7" t="inlineStr">
        <is>
          <t>Everett, WA</t>
        </is>
      </c>
      <c r="M14" s="10" t="n">
        <v>0.104</v>
      </c>
      <c r="N14" s="7" t="inlineStr">
        <is>
          <t>Good · $873 below</t>
        </is>
      </c>
      <c r="O14" s="9" t="n">
        <v>27750</v>
      </c>
      <c r="P14" s="7" t="inlineStr">
        <is>
          <t>1 owner · 0 accidents</t>
        </is>
      </c>
      <c r="Q14" s="7" t="inlineStr">
        <is>
          <t>No</t>
        </is>
      </c>
      <c r="R14" s="6" t="n">
        <v>29</v>
      </c>
      <c r="S14" s="7" t="inlineStr">
        <is>
          <t>CarGurus</t>
        </is>
      </c>
      <c r="T14" s="7" t="inlineStr">
        <is>
          <t>https://www.cargurus.com/Cars/listing/453332129</t>
        </is>
      </c>
      <c r="U14" s="7" t="inlineStr">
        <is>
          <t>JM3KFBDM7P0281828</t>
        </is>
      </c>
      <c r="V14" s="7" t="inlineStr">
        <is>
          <t>68987A</t>
        </is>
      </c>
      <c r="W14" s="6" t="n">
        <v>5</v>
      </c>
      <c r="X14" s="3" t="inlineStr">
        <is>
          <t>written quote received Aug 11 (clean sheet; tax and licence lumped in one line, itemization requested); discussion ongoing.</t>
        </is>
      </c>
      <c r="Y14" s="3" t="inlineStr">
        <is>
          <t>Lowest-mile comfort car in the set: Soul Red, leather, Bose, heated wheel (no ventilation).</t>
        </is>
      </c>
    </row>
    <row r="15">
      <c r="B15" s="6" t="n">
        <v>15</v>
      </c>
      <c r="C15" s="7" t="inlineStr">
        <is>
          <t>benchmark</t>
        </is>
      </c>
      <c r="D15" s="8" t="n">
        <v>2023</v>
      </c>
      <c r="E15" s="7" t="inlineStr">
        <is>
          <t>2.5 S Premium · no-haggle</t>
        </is>
      </c>
      <c r="F15" s="7" t="inlineStr">
        <is>
          <t>2.5</t>
        </is>
      </c>
      <c r="G15" s="6" t="n">
        <v>31166</v>
      </c>
      <c r="H15" s="9" t="n">
        <v>27998</v>
      </c>
      <c r="I15" s="9" t="n">
        <v>27998</v>
      </c>
      <c r="J15" s="9" t="n">
        <v>200</v>
      </c>
      <c r="K15" s="7" t="inlineStr">
        <is>
          <t>CarMax Renton</t>
        </is>
      </c>
      <c r="L15" s="7" t="inlineStr">
        <is>
          <t>Renton, WA</t>
        </is>
      </c>
      <c r="M15" s="10" t="n">
        <v>0.11</v>
      </c>
      <c r="N15" s="7" t="inlineStr">
        <is>
          <t>Fair · $222 below</t>
        </is>
      </c>
      <c r="O15" s="9" t="n"/>
      <c r="P15" s="7" t="inlineStr">
        <is>
          <t>1 owner · 0 accidents</t>
        </is>
      </c>
      <c r="Q15" s="7" t="inlineStr">
        <is>
          <t>No</t>
        </is>
      </c>
      <c r="R15" s="6" t="n">
        <v>3</v>
      </c>
      <c r="S15" s="7" t="inlineStr">
        <is>
          <t>CarMax</t>
        </is>
      </c>
      <c r="T15" s="7" t="inlineStr">
        <is>
          <t>https://www.cargurus.com/Cars/listing/455754266</t>
        </is>
      </c>
      <c r="U15" s="7" t="inlineStr">
        <is>
          <t>JM3KFBDM0P0215315</t>
        </is>
      </c>
      <c r="V15" s="7" t="inlineStr">
        <is>
          <t>70134808</t>
        </is>
      </c>
      <c r="W15" s="6" t="n">
        <v>6</v>
      </c>
      <c r="X15" s="3" t="inlineStr">
        <is>
          <t>reference car; nothing to request.</t>
        </is>
      </c>
      <c r="Y15" s="3" t="inlineStr">
        <is>
          <t>In-state no-haggle benchmark, no transfer fee.</t>
        </is>
      </c>
    </row>
    <row r="16">
      <c r="B16" s="6" t="n">
        <v>17</v>
      </c>
      <c r="C16" s="7" t="inlineStr">
        <is>
          <t>live</t>
        </is>
      </c>
      <c r="D16" s="8" t="n">
        <v>2021</v>
      </c>
      <c r="E16" s="7" t="inlineStr">
        <is>
          <t>Grand Touring w/ GT Premium pkg</t>
        </is>
      </c>
      <c r="F16" s="7" t="inlineStr">
        <is>
          <t>2.5</t>
        </is>
      </c>
      <c r="G16" s="6" t="n">
        <v>30066</v>
      </c>
      <c r="H16" s="9" t="n">
        <v>25799</v>
      </c>
      <c r="I16" s="9" t="n">
        <v>25799</v>
      </c>
      <c r="J16" s="9" t="n">
        <v>0</v>
      </c>
      <c r="K16" s="7" t="inlineStr">
        <is>
          <t>Auto 206 (independent)</t>
        </is>
      </c>
      <c r="L16" s="7" t="inlineStr">
        <is>
          <t>Kent, WA</t>
        </is>
      </c>
      <c r="M16" s="10" t="n">
        <v>0.109</v>
      </c>
      <c r="N16" s="7" t="inlineStr">
        <is>
          <t>$3,281 &lt; FPP</t>
        </is>
      </c>
      <c r="O16" s="9" t="n">
        <v>29080</v>
      </c>
      <c r="P16" s="7" t="inlineStr">
        <is>
          <t>1 owner · 1 accident</t>
        </is>
      </c>
      <c r="Q16" s="7" t="inlineStr">
        <is>
          <t>No</t>
        </is>
      </c>
      <c r="R16" s="6" t="n">
        <v>5</v>
      </c>
      <c r="S16" s="7" t="inlineStr">
        <is>
          <t>Autotrader</t>
        </is>
      </c>
      <c r="T16" s="7" t="inlineStr">
        <is>
          <t>https://www.autotrader.com/cars-for-sale/vehicle/787629893</t>
        </is>
      </c>
      <c r="U16" s="7" t="inlineStr">
        <is>
          <t>JM3KFBDM0M0305902</t>
        </is>
      </c>
      <c r="V16" s="7" t="inlineStr">
        <is>
          <t>13014</t>
        </is>
      </c>
      <c r="W16" s="6" t="n"/>
      <c r="X16" s="3" t="inlineStr">
        <is>
          <t>written offer in hand, valid to Aug 12, 7 PM; Carfax shows a 6/2024 accident. Discussion paused.</t>
        </is>
      </c>
      <c r="Y16" s="3" t="inlineStr">
        <is>
          <t>Ventilated seats at GT money (GT Premium package), Deep Crystal Blue.</t>
        </is>
      </c>
    </row>
    <row r="17">
      <c r="B17" s="6" t="n">
        <v>19</v>
      </c>
      <c r="C17" s="7" t="inlineStr">
        <is>
          <t>live</t>
        </is>
      </c>
      <c r="D17" s="8" t="n">
        <v>2021</v>
      </c>
      <c r="E17" s="7" t="inlineStr">
        <is>
          <t>Signature (2.5T, ventilated)</t>
        </is>
      </c>
      <c r="F17" s="7" t="inlineStr">
        <is>
          <t>2.5 Turbo</t>
        </is>
      </c>
      <c r="G17" s="6" t="n">
        <v>40451</v>
      </c>
      <c r="H17" s="9" t="n">
        <v>26712</v>
      </c>
      <c r="I17" s="9" t="n">
        <v>26712</v>
      </c>
      <c r="J17" s="9" t="n">
        <v>250</v>
      </c>
      <c r="K17" s="7" t="inlineStr">
        <is>
          <t>Tonkin Gresham Honda</t>
        </is>
      </c>
      <c r="L17" s="7" t="inlineStr">
        <is>
          <t>Troutdale, OR</t>
        </is>
      </c>
      <c r="M17" s="10" t="n">
        <v>0.1105</v>
      </c>
      <c r="N17" s="7" t="inlineStr">
        <is>
          <t>Good · $700 below</t>
        </is>
      </c>
      <c r="O17" s="9" t="n">
        <v>24480</v>
      </c>
      <c r="P17" s="7" t="inlineStr">
        <is>
          <t>2 owners · 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https://www.cars.com/vehicledetail/671f18d1-7917-4929-b9c7-3f175ba4013f/</t>
        </is>
      </c>
      <c r="U17" s="7" t="inlineStr">
        <is>
          <t>JM3KFBEY2M0349546</t>
        </is>
      </c>
      <c r="V17" s="7" t="inlineStr">
        <is>
          <t>G6186020B</t>
        </is>
      </c>
      <c r="W17" s="6" t="n"/>
      <c r="X17" s="3" t="inlineStr">
        <is>
          <t>not contacted; Oregon fallback, email-only.</t>
        </is>
      </c>
      <c r="Y17" s="3" t="inlineStr">
        <is>
          <t>Top 2021 trim (Nappa, vents, 360 camera).</t>
        </is>
      </c>
    </row>
    <row r="18">
      <c r="B18" s="6" t="n">
        <v>20</v>
      </c>
      <c r="C18" s="7" t="inlineStr">
        <is>
          <t>live</t>
        </is>
      </c>
      <c r="D18" s="8" t="n">
        <v>2023</v>
      </c>
      <c r="E18" s="7" t="inlineStr">
        <is>
          <t>2.5 S Preferred</t>
        </is>
      </c>
      <c r="F18" s="7" t="inlineStr">
        <is>
          <t>2.5</t>
        </is>
      </c>
      <c r="G18" s="6" t="n">
        <v>16969</v>
      </c>
      <c r="H18" s="9" t="n">
        <v>26500</v>
      </c>
      <c r="I18" s="9" t="n">
        <v>26500</v>
      </c>
      <c r="J18" s="9" t="n">
        <v>250</v>
      </c>
      <c r="K18" s="7" t="inlineStr">
        <is>
          <t>Royal Moore Mazda</t>
        </is>
      </c>
      <c r="L18" s="7" t="inlineStr">
        <is>
          <t>Hillsboro, OR</t>
        </is>
      </c>
      <c r="M18" s="10" t="n">
        <v>0.1105</v>
      </c>
      <c r="N18" s="7" t="inlineStr"/>
      <c r="O18" s="9" t="n"/>
      <c r="P18" s="7" t="inlineStr">
        <is>
          <t>0 accidents</t>
        </is>
      </c>
      <c r="Q18" s="7" t="inlineStr">
        <is>
          <t>No</t>
        </is>
      </c>
      <c r="R18" s="6" t="n">
        <v>18</v>
      </c>
      <c r="S18" s="7" t="inlineStr">
        <is>
          <t>Cars.com</t>
        </is>
      </c>
      <c r="T18" s="7" t="inlineStr">
        <is>
          <t>https://www.cars.com/vehicledetail/84b6552a-4a94-4c5b-96bf-0b3b37cc55a9/</t>
        </is>
      </c>
      <c r="U18" s="7" t="n"/>
      <c r="V18" s="7" t="n"/>
      <c r="W18" s="6" t="n"/>
      <c r="X18" s="3" t="inlineStr">
        <is>
          <t>folded into the #8 thread; no separate quote yet. Oregon: email-only.</t>
        </is>
      </c>
      <c r="Y18" s="3" t="inlineStr">
        <is>
          <t>The Royal Moore group's second low-mile Preferred (Toyota store, same auto center as #8).</t>
        </is>
      </c>
    </row>
    <row r="19">
      <c r="B19" s="6" t="n">
        <v>21</v>
      </c>
      <c r="C19" s="7" t="inlineStr">
        <is>
          <t>live</t>
        </is>
      </c>
      <c r="D19" s="8" t="n">
        <v>2021</v>
      </c>
      <c r="E19" s="7" t="inlineStr">
        <is>
          <t>Signature (2.5T)</t>
        </is>
      </c>
      <c r="F19" s="7" t="inlineStr">
        <is>
          <t>2.5 Turbo</t>
        </is>
      </c>
      <c r="G19" s="6" t="n">
        <v>35589</v>
      </c>
      <c r="H19" s="9" t="n">
        <v>25999</v>
      </c>
      <c r="I19" s="9" t="n">
        <v>25999</v>
      </c>
      <c r="J19" s="9" t="n">
        <v>200</v>
      </c>
      <c r="K19" s="7" t="inlineStr">
        <is>
          <t>Cortes Auto Center (independent)</t>
        </is>
      </c>
      <c r="L19" s="7" t="inlineStr">
        <is>
          <t>Burlington, WA</t>
        </is>
      </c>
      <c r="M19" s="10" t="n">
        <v>0.091</v>
      </c>
      <c r="N19" s="7" t="inlineStr">
        <is>
          <t>Good · $789 over FPP</t>
        </is>
      </c>
      <c r="O19" s="9" t="n">
        <v>25410</v>
      </c>
      <c r="P19" s="7" t="inlineStr">
        <is>
          <t>1 owner · 0 accidents</t>
        </is>
      </c>
      <c r="Q19" s="7" t="inlineStr">
        <is>
          <t>No</t>
        </is>
      </c>
      <c r="R19" s="6" t="n">
        <v>0</v>
      </c>
      <c r="S19" s="7" t="inlineStr">
        <is>
          <t>KBB</t>
        </is>
      </c>
      <c r="T19" s="7" t="inlineStr">
        <is>
          <t>https://www.kbb.com/cars-for-sale/vehicle/787933636</t>
        </is>
      </c>
      <c r="U19" s="7" t="inlineStr">
        <is>
          <t>JM3KFBEY0M0417715</t>
        </is>
      </c>
      <c r="V19" s="7" t="inlineStr">
        <is>
          <t>B1851</t>
        </is>
      </c>
      <c r="W19" s="6" t="n"/>
      <c r="X19" s="3" t="inlineStr">
        <is>
          <t>not contacted (found Aug 12).</t>
        </is>
      </c>
      <c r="Y19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1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8</v>
      </c>
      <c r="C17" s="7" t="inlineStr">
        <is>
          <t>2023 2.5 S Preferred</t>
        </is>
      </c>
      <c r="D17" s="7" t="inlineStr">
        <is>
          <t>Royal Moore Mazda</t>
        </is>
      </c>
      <c r="E17" s="7" t="inlineStr">
        <is>
          <t>est</t>
        </is>
      </c>
      <c r="F17" s="9" t="n">
        <v>26900</v>
      </c>
      <c r="G17" s="10" t="n">
        <v>0.1105</v>
      </c>
      <c r="H17" s="9" t="n">
        <v>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Hillsboro, OR rate</t>
        </is>
      </c>
    </row>
    <row r="18">
      <c r="B18" s="6" t="n">
        <v>19</v>
      </c>
      <c r="C18" s="7" t="inlineStr">
        <is>
          <t>2021 Signature (2.5T, ventilated)</t>
        </is>
      </c>
      <c r="D18" s="7" t="inlineStr">
        <is>
          <t>Tonkin Gresham Honda</t>
        </is>
      </c>
      <c r="E18" s="7" t="inlineStr">
        <is>
          <t>est</t>
        </is>
      </c>
      <c r="F18" s="9" t="n">
        <v>26712</v>
      </c>
      <c r="G18" s="10" t="n">
        <v>0.1105</v>
      </c>
      <c r="H18" s="9" t="n">
        <v>250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Troutdale, OR rate</t>
        </is>
      </c>
    </row>
    <row r="19">
      <c r="B19" s="6" t="n">
        <v>13</v>
      </c>
      <c r="C19" s="7" t="inlineStr">
        <is>
          <t>2022 2.5 S Premium Plus</t>
        </is>
      </c>
      <c r="D19" s="7" t="inlineStr">
        <is>
          <t>Titus-Will Chevrolet GMC Cadillac</t>
        </is>
      </c>
      <c r="E19" s="7" t="inlineStr">
        <is>
          <t>est</t>
        </is>
      </c>
      <c r="F19" s="9" t="n">
        <v>27389</v>
      </c>
      <c r="G19" s="10" t="n">
        <v>0.102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Olympia, WA rate</t>
        </is>
      </c>
    </row>
    <row r="20">
      <c r="B20" s="6" t="n">
        <v>9</v>
      </c>
      <c r="C20" s="7" t="inlineStr">
        <is>
          <t>2023 2.5 S Carbon Edition</t>
        </is>
      </c>
      <c r="D20" s="7" t="inlineStr">
        <is>
          <t>Puyallup Mazda</t>
        </is>
      </c>
      <c r="E20" s="7" t="inlineStr">
        <is>
          <t>est</t>
        </is>
      </c>
      <c r="F20" s="9" t="n">
        <v>27499</v>
      </c>
      <c r="G20" s="10" t="n">
        <v>0.108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Puyallup, WA rate</t>
        </is>
      </c>
    </row>
    <row r="21">
      <c r="B21" s="6" t="n">
        <v>7</v>
      </c>
      <c r="C21" s="7" t="inlineStr">
        <is>
          <t>2022 2.5 S Carbon Edition</t>
        </is>
      </c>
      <c r="D21" s="7" t="inlineStr">
        <is>
          <t>Lee Johnson Mazda of Seattle</t>
        </is>
      </c>
      <c r="E21" s="7" t="inlineStr">
        <is>
          <t>est</t>
        </is>
      </c>
      <c r="F21" s="9" t="n">
        <v>27512</v>
      </c>
      <c r="G21" s="10" t="n">
        <v>0.1105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Seattle, WA rate</t>
        </is>
      </c>
    </row>
    <row r="22">
      <c r="B22" s="6" t="n">
        <v>1</v>
      </c>
      <c r="C22" s="7" t="inlineStr">
        <is>
          <t>2023 2.5 Turbo AWD</t>
        </is>
      </c>
      <c r="D22" s="7" t="inlineStr">
        <is>
          <t>Puyallup Mazda</t>
        </is>
      </c>
      <c r="E22" s="7" t="inlineStr">
        <is>
          <t>est</t>
        </is>
      </c>
      <c r="F22" s="9" t="n">
        <v>27999</v>
      </c>
      <c r="G22" s="10" t="n">
        <v>0.108</v>
      </c>
      <c r="H22" s="9" t="n">
        <v>200</v>
      </c>
      <c r="I22" s="16">
        <f>F22*(1+G22)+H22+$C$6</f>
        <v/>
      </c>
      <c r="J22" s="17" t="n"/>
      <c r="K22" s="12">
        <f>IF(J22&gt;0,J22,I22)</f>
        <v/>
      </c>
      <c r="L22" s="16">
        <f>-PMT($C$3/12,$C$4,K22)</f>
        <v/>
      </c>
      <c r="M22" s="16">
        <f>-PMT($C$3/12,$C$4,MAX(0,K22-$C$5))</f>
        <v/>
      </c>
      <c r="N22" s="16">
        <f>L22*$C$4-K22</f>
        <v/>
      </c>
      <c r="O22" s="7" t="inlineStr">
        <is>
          <t>est. at Puyallup, WA rate</t>
        </is>
      </c>
    </row>
    <row r="23">
      <c r="B23" s="18" t="n">
        <v>15</v>
      </c>
      <c r="C23" s="19" t="inlineStr">
        <is>
          <t>2023 2.5 S Premium · no-haggle (benchmark)</t>
        </is>
      </c>
      <c r="D23" s="19" t="inlineStr">
        <is>
          <t>CarMax Renton</t>
        </is>
      </c>
      <c r="E23" s="19" t="inlineStr">
        <is>
          <t>est</t>
        </is>
      </c>
      <c r="F23" s="20" t="n">
        <v>27998</v>
      </c>
      <c r="G23" s="21" t="n">
        <v>0.11</v>
      </c>
      <c r="H23" s="20" t="n">
        <v>200</v>
      </c>
      <c r="I23" s="22">
        <f>F23*(1+G23)+H23+$C$6</f>
        <v/>
      </c>
      <c r="J23" s="23" t="n"/>
      <c r="K23" s="24">
        <f>IF(J23&gt;0,J23,I23)</f>
        <v/>
      </c>
      <c r="L23" s="22">
        <f>-PMT($C$3/12,$C$4,K23)</f>
        <v/>
      </c>
      <c r="M23" s="22">
        <f>-PMT($C$3/12,$C$4,MAX(0,K23-$C$5))</f>
        <v/>
      </c>
      <c r="N23" s="22">
        <f>L23*$C$4-K23</f>
        <v/>
      </c>
      <c r="O23" s="19" t="inlineStr">
        <is>
          <t>est. at Renton, WA rate</t>
        </is>
      </c>
    </row>
    <row r="24">
      <c r="B24" s="6" t="n">
        <v>14</v>
      </c>
      <c r="C24" s="7" t="inlineStr">
        <is>
          <t>2023 2.5 S Premium</t>
        </is>
      </c>
      <c r="D24" s="7" t="inlineStr">
        <is>
          <t>Rodland Toyota of Everett</t>
        </is>
      </c>
      <c r="E24" s="7" t="inlineStr">
        <is>
          <t>est</t>
        </is>
      </c>
      <c r="F24" s="9" t="n">
        <v>28287</v>
      </c>
      <c r="G24" s="10" t="n">
        <v>0.104</v>
      </c>
      <c r="H24" s="9" t="n">
        <v>200</v>
      </c>
      <c r="I24" s="16">
        <f>F24*(1+G24)+H24+$C$6</f>
        <v/>
      </c>
      <c r="J24" s="17" t="n"/>
      <c r="K24" s="12">
        <f>IF(J24&gt;0,J24,I24)</f>
        <v/>
      </c>
      <c r="L24" s="16">
        <f>-PMT($C$3/12,$C$4,K24)</f>
        <v/>
      </c>
      <c r="M24" s="16">
        <f>-PMT($C$3/12,$C$4,MAX(0,K24-$C$5))</f>
        <v/>
      </c>
      <c r="N24" s="16">
        <f>L24*$C$4-K24</f>
        <v/>
      </c>
      <c r="O24" s="7" t="inlineStr">
        <is>
          <t>est. at Everett, WA rate</t>
        </is>
      </c>
    </row>
    <row r="26">
      <c r="B26" s="4" t="inlineStr">
        <is>
          <t>Cheapest solid vs. stretch</t>
        </is>
      </c>
    </row>
    <row r="27">
      <c r="B27" s="7" t="n"/>
      <c r="C27" s="4" t="inlineStr">
        <is>
          <t>Cheapest solid</t>
        </is>
      </c>
      <c r="D27" s="7" t="inlineStr">
        <is>
          <t>#5 2021 Grand Touring AWD · Hyundai of Kirkland</t>
        </is>
      </c>
      <c r="E27" s="7" t="inlineStr">
        <is>
          <t>est</t>
        </is>
      </c>
      <c r="F27" s="16" t="n">
        <v>25192</v>
      </c>
      <c r="G27" s="7" t="n"/>
      <c r="H27" s="7" t="n"/>
      <c r="I27" s="7" t="n"/>
      <c r="J27" s="7" t="n"/>
      <c r="K27" s="16" t="n">
        <v>28712.736</v>
      </c>
      <c r="L27" s="16" t="n">
        <v>559.1117635962995</v>
      </c>
      <c r="M27" s="16" t="n">
        <v>461.7487391188865</v>
      </c>
      <c r="N27" s="16" t="n">
        <v>4833.969815777968</v>
      </c>
    </row>
    <row r="28">
      <c r="B28" s="7" t="n"/>
      <c r="C28" s="4" t="inlineStr">
        <is>
          <t>Stretch</t>
        </is>
      </c>
      <c r="D28" s="7" t="inlineStr">
        <is>
          <t>#1 2023 2.5 Turbo AWD · Puyallup Mazda</t>
        </is>
      </c>
      <c r="E28" s="7" t="inlineStr">
        <is>
          <t>est</t>
        </is>
      </c>
      <c r="F28" s="16" t="n">
        <v>27999</v>
      </c>
      <c r="G28" s="7" t="n"/>
      <c r="H28" s="7" t="n"/>
      <c r="I28" s="7" t="n"/>
      <c r="J28" s="7" t="n"/>
      <c r="K28" s="16" t="n">
        <v>31822.892</v>
      </c>
      <c r="L28" s="16" t="n">
        <v>619.6746025476141</v>
      </c>
      <c r="M28" s="16" t="n">
        <v>522.3115780702011</v>
      </c>
      <c r="N28" s="16" t="n">
        <v>5357.584152856845</v>
      </c>
    </row>
    <row r="29">
      <c r="B29" s="25" t="n"/>
      <c r="C29" s="25" t="inlineStr">
        <is>
          <t>Δ</t>
        </is>
      </c>
      <c r="D29" s="25" t="n"/>
      <c r="E29" s="25" t="n"/>
      <c r="F29" s="26" t="n">
        <v>2807</v>
      </c>
      <c r="G29" s="25" t="n"/>
      <c r="H29" s="25" t="n"/>
      <c r="I29" s="25" t="n"/>
      <c r="J29" s="25" t="n"/>
      <c r="K29" s="26" t="n">
        <v>3110.156000000003</v>
      </c>
      <c r="L29" s="26" t="n">
        <v>60.56283895131457</v>
      </c>
      <c r="M29" s="26" t="n">
        <v>60.56283895131463</v>
      </c>
      <c r="N29" s="26" t="n">
        <v>523.6143370788777</v>
      </c>
    </row>
    <row r="31">
      <c r="B31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11</v>
      </c>
      <c r="C6" s="8" t="n">
        <v>2022</v>
      </c>
      <c r="D6" s="7" t="inlineStr">
        <is>
          <t>Carbon Edition</t>
        </is>
      </c>
      <c r="E6" s="7" t="inlineStr">
        <is>
          <t>CarMax Sacramento South</t>
        </is>
      </c>
      <c r="F6" s="7" t="inlineStr">
        <is>
          <t>Sacramento, CA</t>
        </is>
      </c>
      <c r="G6" s="9" t="n">
        <v>24998</v>
      </c>
      <c r="H6" s="6" t="n">
        <v>48337</v>
      </c>
      <c r="I6" s="7" t="inlineStr">
        <is>
          <t>Aug 11</t>
        </is>
      </c>
      <c r="J6" s="7" t="inlineStr">
        <is>
          <t>Aug 11 PM</t>
        </is>
      </c>
      <c r="K6" s="7" t="inlineStr">
        <is>
          <t>https://www.carmax.com/car/70056694</t>
        </is>
      </c>
    </row>
    <row r="7">
      <c r="B7" s="6" t="n">
        <v>16</v>
      </c>
      <c r="C7" s="8" t="n">
        <v>2021</v>
      </c>
      <c r="D7" s="7" t="inlineStr">
        <is>
          <t>Grand Touring AWD</t>
        </is>
      </c>
      <c r="E7" s="7" t="inlineStr">
        <is>
          <t>Doug's Lynnwood Mazda</t>
        </is>
      </c>
      <c r="F7" s="7" t="inlineStr">
        <is>
          <t>Edmonds, WA</t>
        </is>
      </c>
      <c r="G7" s="9" t="n">
        <v>28700</v>
      </c>
      <c r="H7" s="6" t="n">
        <v>27089</v>
      </c>
      <c r="I7" s="7" t="inlineStr">
        <is>
          <t>Aug 11</t>
        </is>
      </c>
      <c r="J7" s="7" t="inlineStr">
        <is>
          <t>dealer email Aug 11 (sold Aug 10)</t>
        </is>
      </c>
      <c r="K7" s="7" t="inlineStr">
        <is>
          <t>https://www.cars.com/vehicledetail/495a1e58-37a7-480b-9f80-8bb411d8fa8f/</t>
        </is>
      </c>
    </row>
    <row r="8">
      <c r="B8" s="6" t="n">
        <v>18</v>
      </c>
      <c r="C8" s="8" t="n">
        <v>2023</v>
      </c>
      <c r="D8" s="7" t="inlineStr">
        <is>
          <t>2.5 S Preferred AWD</t>
        </is>
      </c>
      <c r="E8" s="7" t="inlineStr">
        <is>
          <t>Auto Connections of Bellevue (independent)</t>
        </is>
      </c>
      <c r="F8" s="7" t="inlineStr">
        <is>
          <t>Bellevue, WA</t>
        </is>
      </c>
      <c r="G8" s="9" t="n">
        <v>26495</v>
      </c>
      <c r="H8" s="6" t="n">
        <v>20533</v>
      </c>
      <c r="I8" s="7" t="inlineStr">
        <is>
          <t>Aug 11</t>
        </is>
      </c>
      <c r="J8" s="7" t="inlineStr">
        <is>
          <t>Aug 11, 11:51 AM</t>
        </is>
      </c>
      <c r="K8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O1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42" customWidth="1" min="2" max="2"/>
    <col width="30" customWidth="1" min="3" max="3"/>
    <col width="6" customWidth="1" min="4" max="4"/>
    <col width="10" customWidth="1" min="5" max="5"/>
    <col width="10" customWidth="1" min="6" max="6"/>
    <col width="8" customWidth="1" min="7" max="7"/>
    <col width="8" customWidth="1" min="8" max="8"/>
    <col width="8" customWidth="1" min="9" max="9"/>
    <col width="60" customWidth="1" min="10" max="10"/>
    <col width="55" customWidth="1" min="11" max="11"/>
  </cols>
  <sheetData>
    <row r="1">
      <c r="B1" s="1" t="inlineStr">
        <is>
          <t>Screened and parked (re-checked 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Car</t>
        </is>
      </c>
      <c r="C3" s="5" t="inlineStr">
        <is>
          <t>Dealer</t>
        </is>
      </c>
      <c r="D3" s="5" t="inlineStr">
        <is>
          <t>State</t>
        </is>
      </c>
      <c r="E3" s="5" t="inlineStr">
        <is>
          <t>Price now</t>
        </is>
      </c>
      <c r="F3" s="5" t="inlineStr">
        <is>
          <t>Was</t>
        </is>
      </c>
      <c r="G3" s="5" t="inlineStr">
        <is>
          <t>Move</t>
        </is>
      </c>
      <c r="H3" s="5" t="inlineStr">
        <is>
          <t>Days listed</t>
        </is>
      </c>
      <c r="I3" s="5" t="inlineStr">
        <is>
          <t>Deal</t>
        </is>
      </c>
      <c r="J3" s="5" t="inlineStr">
        <is>
          <t>Why parked</t>
        </is>
      </c>
      <c r="K3" s="5" t="inlineStr">
        <is>
          <t>URL</t>
        </is>
      </c>
    </row>
    <row r="4">
      <c r="B4" s="7" t="inlineStr">
        <is>
          <t>2022 2.5 S Carbon Edition, 47,333 mi, $26,998+$200</t>
        </is>
      </c>
      <c r="C4" s="7" t="inlineStr">
        <is>
          <t>Doug's Lynnwood Mazda</t>
        </is>
      </c>
      <c r="D4" s="7" t="inlineStr">
        <is>
          <t>WA</t>
        </is>
      </c>
      <c r="E4" s="9" t="n">
        <v>27198</v>
      </c>
      <c r="F4" s="9" t="n">
        <v>27198</v>
      </c>
      <c r="G4" s="16" t="n">
        <v>0</v>
      </c>
      <c r="H4" s="6" t="n">
        <v>15</v>
      </c>
      <c r="I4" s="7" t="inlineStr">
        <is>
          <t>Fair</t>
        </is>
      </c>
      <c r="J4" s="3" t="inlineStr">
        <is>
          <t>Fair Deal rating, 47k mi; #7/#9 beat it on miles and CPO.</t>
        </is>
      </c>
      <c r="K4" s="7" t="inlineStr">
        <is>
          <t>https://www.cargurus.com/Cars/listing/454596751</t>
        </is>
      </c>
    </row>
    <row r="5">
      <c r="B5" s="7" t="inlineStr">
        <is>
          <t>Mazda CPO 2022 2.5 S Select, 48,468 mi, $24,081+$299</t>
        </is>
      </c>
      <c r="C5" s="7" t="inlineStr">
        <is>
          <t>West Hills Mazda, Bremerton</t>
        </is>
      </c>
      <c r="D5" s="7" t="inlineStr">
        <is>
          <t>WA</t>
        </is>
      </c>
      <c r="E5" s="9" t="n">
        <v>24081</v>
      </c>
      <c r="F5" s="9" t="n">
        <v>24081</v>
      </c>
      <c r="G5" s="16" t="n">
        <v>0</v>
      </c>
      <c r="H5" s="6" t="n"/>
      <c r="I5" s="7" t="n"/>
      <c r="J5" s="3" t="inlineStr">
        <is>
          <t>Cheapest Mazda-CPO car found, but Select trim (comfort-low) + 48k mi; budget backup only.</t>
        </is>
      </c>
      <c r="K5" s="7" t="inlineStr">
        <is>
          <t>https://www.autotrader.com/cars-for-sale/vehicle/786226153</t>
        </is>
      </c>
    </row>
    <row r="6">
      <c r="B6" s="7" t="inlineStr">
        <is>
          <t>2023 2.5 S Carbon Edition, 28,928 mi, $27,060+$200</t>
        </is>
      </c>
      <c r="C6" s="7" t="inlineStr">
        <is>
          <t>Titus-Will Used Cars - Olympia</t>
        </is>
      </c>
      <c r="D6" s="7" t="inlineStr">
        <is>
          <t>WA</t>
        </is>
      </c>
      <c r="E6" s="9" t="n">
        <v>27260</v>
      </c>
      <c r="F6" s="9" t="n">
        <v>27260</v>
      </c>
      <c r="G6" s="16" t="n">
        <v>0</v>
      </c>
      <c r="H6" s="6" t="n">
        <v>28</v>
      </c>
      <c r="I6" s="7" t="inlineStr">
        <is>
          <t>Good</t>
        </is>
      </c>
      <c r="J6" s="3" t="inlineStr">
        <is>
          <t>$1.6k of drops already; loses to #9 (CPO, same money).</t>
        </is>
      </c>
      <c r="K6" s="7" t="inlineStr">
        <is>
          <t>https://www.cargurus.com/Cars/listing/453420840</t>
        </is>
      </c>
    </row>
    <row r="7">
      <c r="B7" s="7" t="inlineStr">
        <is>
          <t>2023 2.5 S Carbon Edition, 23K mi, $28,998</t>
        </is>
      </c>
      <c r="C7" s="7" t="inlineStr">
        <is>
          <t>Rodland Toyota of Everett</t>
        </is>
      </c>
      <c r="D7" s="7" t="inlineStr">
        <is>
          <t>WA</t>
        </is>
      </c>
      <c r="E7" s="9" t="n">
        <v>28998</v>
      </c>
      <c r="F7" s="9" t="n">
        <v>28998</v>
      </c>
      <c r="G7" s="16" t="n">
        <v>0</v>
      </c>
      <c r="H7" s="6" t="n"/>
      <c r="I7" s="7" t="n"/>
      <c r="J7" s="3" t="inlineStr">
        <is>
          <t>At the cap before fees; #14 at the same store is the better comfort buy.</t>
        </is>
      </c>
      <c r="K7" s="7" t="inlineStr">
        <is>
          <t>https://www.autotrader.com/cars-for-sale/vehicle/787184706</t>
        </is>
      </c>
    </row>
    <row r="8">
      <c r="B8" s="7" t="inlineStr">
        <is>
          <t>2.5 S Preferred AWD (year unverified), 33,261 mi, $25,695+$200</t>
        </is>
      </c>
      <c r="C8" s="7" t="inlineStr">
        <is>
          <t>GoldBoyz Auto Sales, Puyallup (indie)</t>
        </is>
      </c>
      <c r="D8" s="7" t="inlineStr">
        <is>
          <t>WA</t>
        </is>
      </c>
      <c r="E8" s="9" t="n">
        <v>25895</v>
      </c>
      <c r="F8" s="9" t="n">
        <v>25895</v>
      </c>
      <c r="G8" s="16" t="n">
        <v>0</v>
      </c>
      <c r="H8" s="6" t="n">
        <v>71</v>
      </c>
      <c r="I8" s="7" t="inlineStr">
        <is>
          <t>Good</t>
        </is>
      </c>
      <c r="J8" s="3" t="inlineStr">
        <is>
          <t>Sponsored indie tile, 70 days on market; verify year + history before considering.</t>
        </is>
      </c>
      <c r="K8" s="7" t="inlineStr">
        <is>
          <t>https://www.cargurus.com/Cars/listing/449710675</t>
        </is>
      </c>
    </row>
    <row r="9">
      <c r="B9" s="7" t="inlineStr">
        <is>
          <t>2022 2.5 S Select, 28,548 mi, $24,995+$200</t>
        </is>
      </c>
      <c r="C9" s="7" t="inlineStr">
        <is>
          <t>Pacific Coast Auto Center, Burlington (indie)</t>
        </is>
      </c>
      <c r="D9" s="7" t="inlineStr">
        <is>
          <t>WA</t>
        </is>
      </c>
      <c r="E9" s="9" t="n">
        <v>25195</v>
      </c>
      <c r="F9" s="9" t="n">
        <v>25195</v>
      </c>
      <c r="G9" s="16" t="n">
        <v>0</v>
      </c>
      <c r="H9" s="6" t="n">
        <v>77</v>
      </c>
      <c r="I9" s="7" t="inlineStr">
        <is>
          <t>Fair</t>
        </is>
      </c>
      <c r="J9" s="3" t="inlineStr">
        <is>
          <t>Fair Deal, Select trim, 75 days; budget tier only.</t>
        </is>
      </c>
      <c r="K9" s="7" t="inlineStr">
        <is>
          <t>https://www.cargurus.com/Cars/listing/449233426</t>
        </is>
      </c>
    </row>
    <row r="10">
      <c r="B10" s="7" t="inlineStr">
        <is>
          <t>2021 Touring, 21,391 mi, $27,999-$28,199</t>
        </is>
      </c>
      <c r="C10" s="7" t="inlineStr">
        <is>
          <t>Mazda of Everett</t>
        </is>
      </c>
      <c r="D10" s="7" t="inlineStr">
        <is>
          <t>WA</t>
        </is>
      </c>
      <c r="E10" s="9" t="n">
        <v>27999</v>
      </c>
      <c r="F10" s="9" t="n">
        <v>27999</v>
      </c>
      <c r="G10" s="16" t="n">
        <v>0</v>
      </c>
      <c r="H10" s="6" t="n"/>
      <c r="I10" s="7" t="n"/>
      <c r="J10" s="3" t="inlineStr">
        <is>
          <t>Touring = below the comfort bar at a GT price.</t>
        </is>
      </c>
      <c r="K10" s="7" t="inlineStr">
        <is>
          <t>https://www.autotrader.com/cars-for-sale/vehicle/787834756</t>
        </is>
      </c>
    </row>
    <row r="11">
      <c r="B11" s="7" t="inlineStr">
        <is>
          <t>2021 Carbon Edition Turbo, 39,412 mi, $27,722</t>
        </is>
      </c>
      <c r="C11" s="7" t="inlineStr">
        <is>
          <t>Tonkin Gresham Honda</t>
        </is>
      </c>
      <c r="D11" s="7" t="inlineStr">
        <is>
          <t>OR</t>
        </is>
      </c>
      <c r="E11" s="9" t="n">
        <v>27722</v>
      </c>
      <c r="F11" s="9" t="n">
        <v>27722</v>
      </c>
      <c r="G11" s="16" t="n">
        <v>0</v>
      </c>
      <c r="H11" s="6" t="n"/>
      <c r="I11" s="7" t="n"/>
      <c r="J11" s="3" t="inlineStr">
        <is>
          <t>#4 is the same formula $1.6k cheaper.</t>
        </is>
      </c>
      <c r="K11" s="7" t="inlineStr">
        <is>
          <t>https://www.cars.com/vehicledetail/c5fca301-f2de-4480-801a-bed903370d40/</t>
        </is>
      </c>
    </row>
    <row r="12">
      <c r="B12" s="7" t="inlineStr">
        <is>
          <t>2023 2.5 S Carbon Edition, 32,594 mi, $27,400</t>
        </is>
      </c>
      <c r="C12" s="7" t="inlineStr">
        <is>
          <t>Lexus of Portland</t>
        </is>
      </c>
      <c r="D12" s="7" t="inlineStr">
        <is>
          <t>OR</t>
        </is>
      </c>
      <c r="E12" s="9" t="n"/>
      <c r="F12" s="9" t="n">
        <v>27400</v>
      </c>
      <c r="G12" s="16" t="n"/>
      <c r="H12" s="6" t="n"/>
      <c r="I12" s="7" t="n"/>
      <c r="J12" s="3" t="inlineStr">
        <is>
          <t>OR, loses to #9 (WA + CPO) at the same money.</t>
        </is>
      </c>
      <c r="K12" s="7" t="inlineStr">
        <is>
          <t>https://www.cars.com/vehicledetail/094ebb74-c5d0-4fa6-91f5-9b677cc9e444/</t>
        </is>
      </c>
    </row>
    <row r="13">
      <c r="B13" s="7" t="inlineStr">
        <is>
          <t>2023 2.5 S Select, 13,555 mi, $25,950</t>
        </is>
      </c>
      <c r="C13" s="7" t="inlineStr">
        <is>
          <t>Lexus of Portland</t>
        </is>
      </c>
      <c r="D13" s="7" t="inlineStr">
        <is>
          <t>OR</t>
        </is>
      </c>
      <c r="E13" s="9" t="n">
        <v>25950</v>
      </c>
      <c r="F13" s="9" t="n">
        <v>25950</v>
      </c>
      <c r="G13" s="16" t="n">
        <v>0</v>
      </c>
      <c r="H13" s="6" t="n"/>
      <c r="I13" s="7" t="n"/>
      <c r="J13" s="3" t="inlineStr">
        <is>
          <t>Lowest-mile car found, but Select trim + OR.</t>
        </is>
      </c>
      <c r="K13" s="7" t="inlineStr">
        <is>
          <t>https://www.cars.com/vehicledetail/59d3b36d-7131-439c-a3b7-7b91343a454d/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11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27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27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27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27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27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27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27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27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27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27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27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27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27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2">
      <c r="B22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3">
      <c r="B23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4">
      <c r="B24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5">
      <c r="B25" s="3" t="inlineStr">
        <is>
          <t>Trim: unwanted trims (Sport, Select, base 2.5 S) dropped unless priced more than $3k under the year average.</t>
        </is>
      </c>
    </row>
    <row r="26">
      <c r="B26" s="3" t="inlineStr">
        <is>
          <t>Rank: deal rating / KBB FPP delta → $ below market → 1-owner → CPO → miles per dollar; at least 3 non-CarGurus sources and all 3 model years enforced on the shortlist.</t>
        </is>
      </c>
    </row>
    <row r="27">
      <c r="B27" s="3" t="inlineStr">
        <is>
          <t>NHTSA recalls: 0 open campaigns for MY2021–2023 CX-5 (checked 8/7/26). Verify by VIN at nhtsa.gov/recalls before purchase.</t>
        </is>
      </c>
    </row>
    <row r="28">
      <c r="B28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29">
      <c r="B29" s="3" t="inlineStr">
        <is>
          <t>KBB national FPP is default-zip (75201) at “typical” mileage — reads ~$3–5k below Seattle retail across the board. Use the Seattle-derived FPP column for delta math.</t>
        </is>
      </c>
    </row>
    <row r="30">
      <c r="B30" s="3" t="inlineStr">
        <is>
          <t>#6 KBB record has null kbbFpp (delta shows as −$25,198 in raw data — artifact, ignored).</t>
        </is>
      </c>
    </row>
    <row r="31">
      <c r="B31" s="3" t="inlineStr">
        <is>
          <t>CarMax pick #11: priorUse=[] (no fleet flag); CarMax history report available on the vehicle page.</t>
        </is>
      </c>
    </row>
    <row r="32">
      <c r="B32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2026-08-12T01:49:34Z</dcterms:created>
  <dcterms:modified xmlns:dcterms="http://purl.org/dc/terms/" xmlns:xsi="http://www.w3.org/2001/XMLSchema-instance" xsi:type="dcterms:W3CDTF">2026-08-12T01:49:34Z</dcterms:modified>
</cp:coreProperties>
</file>